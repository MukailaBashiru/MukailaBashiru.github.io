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b0b946ae0aeadc13/Desktop/Dev/CV and Job prep/TechDrive/Advanced Excel Training/My Projects/Excel Project/Car Insurance Premium Dataset/"/>
    </mc:Choice>
  </mc:AlternateContent>
  <xr:revisionPtr revIDLastSave="1395" documentId="8_{CC15E938-2A47-4146-8695-4D4FED61C84B}" xr6:coauthVersionLast="47" xr6:coauthVersionMax="47" xr10:uidLastSave="{AD55EFED-4B14-4E3A-A372-7309D2EFF77A}"/>
  <bookViews>
    <workbookView xWindow="20370" yWindow="-120" windowWidth="25440" windowHeight="15270" xr2:uid="{63789753-9906-4FD4-AC4F-778283A11AF2}"/>
  </bookViews>
  <sheets>
    <sheet name="Dashboard" sheetId="1" r:id="rId1"/>
    <sheet name="Age" sheetId="3" r:id="rId2"/>
    <sheet name="Experience" sheetId="4" r:id="rId3"/>
    <sheet name="Previous Accident" sheetId="5" r:id="rId4"/>
    <sheet name="Annual Milleage" sheetId="6" r:id="rId5"/>
    <sheet name="Car Age" sheetId="7" r:id="rId6"/>
    <sheet name="Summary Statistics" sheetId="8" r:id="rId7"/>
    <sheet name="Transformed Data" sheetId="2" r:id="rId8"/>
    <sheet name="Raw Data" sheetId="9" r:id="rId9"/>
  </sheets>
  <definedNames>
    <definedName name="_xlnm._FilterDatabase" localSheetId="8" hidden="1">'Raw Data'!$A$1:$G$1001</definedName>
    <definedName name="_xlnm._FilterDatabase" localSheetId="7" hidden="1">'Transformed Data'!$A$1:$H$1001</definedName>
    <definedName name="Slicer_Car_Manufacturing_Year">#N/A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2" l="1"/>
  <c r="Q2" i="2"/>
  <c r="M2" i="2"/>
  <c r="U3" i="2" l="1"/>
  <c r="V3" i="2" s="1"/>
  <c r="U4" i="2" s="1"/>
  <c r="V4" i="2" s="1"/>
  <c r="P3" i="2"/>
  <c r="Q3" i="2" s="1"/>
  <c r="W2" i="2"/>
  <c r="D35" i="2" s="1"/>
  <c r="R2" i="2"/>
  <c r="F310" i="2" s="1"/>
  <c r="F833" i="2" l="1"/>
  <c r="F826" i="2"/>
  <c r="F382" i="2"/>
  <c r="F945" i="2"/>
  <c r="F996" i="2"/>
  <c r="F152" i="2"/>
  <c r="B135" i="2"/>
  <c r="F997" i="2"/>
  <c r="F979" i="2"/>
  <c r="F4" i="2"/>
  <c r="F122" i="2"/>
  <c r="F140" i="2"/>
  <c r="F117" i="2"/>
  <c r="F942" i="2"/>
  <c r="F985" i="2"/>
  <c r="F284" i="2"/>
  <c r="F844" i="2"/>
  <c r="F730" i="2"/>
  <c r="F751" i="2"/>
  <c r="F723" i="2"/>
  <c r="D368" i="2"/>
  <c r="D467" i="2"/>
  <c r="D706" i="2"/>
  <c r="D671" i="2"/>
  <c r="D505" i="2"/>
  <c r="D962" i="2"/>
  <c r="D223" i="2"/>
  <c r="D647" i="2"/>
  <c r="D344" i="2"/>
  <c r="D44" i="2"/>
  <c r="D650" i="2"/>
  <c r="D456" i="2"/>
  <c r="D571" i="2"/>
  <c r="D131" i="2"/>
  <c r="D328" i="2"/>
  <c r="D734" i="2"/>
  <c r="D568" i="2"/>
  <c r="D102" i="2"/>
  <c r="D229" i="2"/>
  <c r="D652" i="2"/>
  <c r="D779" i="2"/>
  <c r="D176" i="2"/>
  <c r="D601" i="2"/>
  <c r="D574" i="2"/>
  <c r="D189" i="2"/>
  <c r="D612" i="2"/>
  <c r="D963" i="2"/>
  <c r="D751" i="2"/>
  <c r="D783" i="2"/>
  <c r="D947" i="2"/>
  <c r="D400" i="2"/>
  <c r="D879" i="2"/>
  <c r="D565" i="2"/>
  <c r="D616" i="2"/>
  <c r="D225" i="2"/>
  <c r="D99" i="2"/>
  <c r="D776" i="2"/>
  <c r="D977" i="2"/>
  <c r="D921" i="2"/>
  <c r="D985" i="2"/>
  <c r="D856" i="2"/>
  <c r="D378" i="2"/>
  <c r="D508" i="2"/>
  <c r="D593" i="2"/>
  <c r="D329" i="2"/>
  <c r="D846" i="2"/>
  <c r="D258" i="2"/>
  <c r="D4" i="2"/>
  <c r="D222" i="2"/>
  <c r="D966" i="2"/>
  <c r="D530" i="2"/>
  <c r="D594" i="2"/>
  <c r="D658" i="2"/>
  <c r="D666" i="2"/>
  <c r="D220" i="2"/>
  <c r="D476" i="2"/>
  <c r="D15" i="2"/>
  <c r="D645" i="2"/>
  <c r="D543" i="2"/>
  <c r="D50" i="2"/>
  <c r="D436" i="2"/>
  <c r="D103" i="2"/>
  <c r="D64" i="2"/>
  <c r="D982" i="2"/>
  <c r="D854" i="2"/>
  <c r="D339" i="2"/>
  <c r="D455" i="2"/>
  <c r="D852" i="2"/>
  <c r="B962" i="2"/>
  <c r="P4" i="2"/>
  <c r="Q4" i="2" s="1"/>
  <c r="B812" i="2"/>
  <c r="B583" i="2"/>
  <c r="B729" i="2"/>
  <c r="B418" i="2"/>
  <c r="B794" i="2"/>
  <c r="B986" i="2"/>
  <c r="B866" i="2"/>
  <c r="B697" i="2"/>
  <c r="B953" i="2"/>
  <c r="B963" i="2"/>
  <c r="B979" i="2"/>
  <c r="B566" i="2"/>
  <c r="B868" i="2"/>
  <c r="B944" i="2"/>
  <c r="B933" i="2"/>
  <c r="B894" i="2"/>
  <c r="B957" i="2"/>
  <c r="B997" i="2"/>
  <c r="B646" i="2"/>
  <c r="B758" i="2"/>
  <c r="B831" i="2"/>
  <c r="B429" i="2"/>
  <c r="B503" i="2"/>
  <c r="B836" i="2"/>
  <c r="B663" i="2"/>
  <c r="B189" i="2"/>
  <c r="B86" i="2"/>
  <c r="B222" i="2"/>
  <c r="B350" i="2"/>
  <c r="B15" i="2"/>
  <c r="B324" i="2"/>
  <c r="B85" i="2"/>
  <c r="B341" i="2"/>
  <c r="B238" i="2"/>
  <c r="B65" i="2"/>
  <c r="B193" i="2"/>
  <c r="B171" i="2"/>
  <c r="B624" i="2"/>
  <c r="B796" i="2"/>
  <c r="U5" i="2"/>
  <c r="V5" i="2" s="1"/>
  <c r="W3" i="2"/>
  <c r="D475" i="2" s="1"/>
  <c r="R3" i="2"/>
  <c r="F123" i="2" s="1"/>
  <c r="F485" i="2" l="1"/>
  <c r="F249" i="2"/>
  <c r="F914" i="2"/>
  <c r="F928" i="2"/>
  <c r="F94" i="2"/>
  <c r="F107" i="2"/>
  <c r="F976" i="2"/>
  <c r="F457" i="2"/>
  <c r="B557" i="2"/>
  <c r="F771" i="2"/>
  <c r="F921" i="2"/>
  <c r="F671" i="2"/>
  <c r="F666" i="2"/>
  <c r="F232" i="2"/>
  <c r="F158" i="2"/>
  <c r="F349" i="2"/>
  <c r="F522" i="2"/>
  <c r="F774" i="2"/>
  <c r="F681" i="2"/>
  <c r="F221" i="2"/>
  <c r="F253" i="2"/>
  <c r="F442" i="2"/>
  <c r="F109" i="2"/>
  <c r="F96" i="2"/>
  <c r="F166" i="2"/>
  <c r="F432" i="2"/>
  <c r="F754" i="2"/>
  <c r="F50" i="2"/>
  <c r="D920" i="2"/>
  <c r="D126" i="2"/>
  <c r="D579" i="2"/>
  <c r="D905" i="2"/>
  <c r="D943" i="2"/>
  <c r="D753" i="2"/>
  <c r="D289" i="2"/>
  <c r="D913" i="2"/>
  <c r="D979" i="2"/>
  <c r="D1001" i="2"/>
  <c r="D848" i="2"/>
  <c r="D785" i="2"/>
  <c r="D896" i="2"/>
  <c r="D681" i="2"/>
  <c r="D605" i="2"/>
  <c r="D404" i="2"/>
  <c r="D741" i="2"/>
  <c r="D632" i="2"/>
  <c r="D334" i="2"/>
  <c r="D210" i="2"/>
  <c r="D149" i="2"/>
  <c r="D771" i="2"/>
  <c r="D837" i="2"/>
  <c r="D484" i="2"/>
  <c r="D180" i="2"/>
  <c r="D183" i="2"/>
  <c r="D294" i="2"/>
  <c r="D439" i="2"/>
  <c r="D912" i="2"/>
  <c r="D768" i="2"/>
  <c r="D641" i="2"/>
  <c r="D345" i="2"/>
  <c r="D589" i="2"/>
  <c r="D107" i="2"/>
  <c r="D11" i="2"/>
  <c r="D542" i="2"/>
  <c r="D724" i="2"/>
  <c r="D387" i="2"/>
  <c r="D889" i="2"/>
  <c r="D267" i="2"/>
  <c r="D161" i="2"/>
  <c r="D576" i="2"/>
  <c r="D198" i="2"/>
  <c r="D520" i="2"/>
  <c r="D978" i="2"/>
  <c r="D260" i="2"/>
  <c r="D313" i="2"/>
  <c r="D777" i="2"/>
  <c r="D855" i="2"/>
  <c r="D366" i="2"/>
  <c r="D70" i="2"/>
  <c r="D49" i="2"/>
  <c r="D132" i="2"/>
  <c r="D669" i="2"/>
  <c r="D511" i="2"/>
  <c r="D728" i="2"/>
  <c r="D936" i="2"/>
  <c r="D185" i="2"/>
  <c r="D477" i="2"/>
  <c r="D823" i="2"/>
  <c r="D109" i="2"/>
  <c r="D394" i="2"/>
  <c r="D430" i="2"/>
  <c r="D117" i="2"/>
  <c r="D757" i="2"/>
  <c r="D843" i="2"/>
  <c r="D256" i="2"/>
  <c r="D674" i="2"/>
  <c r="D348" i="2"/>
  <c r="D946" i="2"/>
  <c r="D399" i="2"/>
  <c r="D928" i="2"/>
  <c r="D638" i="2"/>
  <c r="D967" i="2"/>
  <c r="D321" i="2"/>
  <c r="D235" i="2"/>
  <c r="D147" i="2"/>
  <c r="D826" i="2"/>
  <c r="D338" i="2"/>
  <c r="D277" i="2"/>
  <c r="D503" i="2"/>
  <c r="D819" i="2"/>
  <c r="D725" i="2"/>
  <c r="D835" i="2"/>
  <c r="D509" i="2"/>
  <c r="D711" i="2"/>
  <c r="D323" i="2"/>
  <c r="D532" i="2"/>
  <c r="D392" i="2"/>
  <c r="D917" i="2"/>
  <c r="D763" i="2"/>
  <c r="D405" i="2"/>
  <c r="D279" i="2"/>
  <c r="D100" i="2"/>
  <c r="D174" i="2"/>
  <c r="D490" i="2"/>
  <c r="D890" i="2"/>
  <c r="D271" i="2"/>
  <c r="D284" i="2"/>
  <c r="D379" i="2"/>
  <c r="D514" i="2"/>
  <c r="D885" i="2"/>
  <c r="D81" i="2"/>
  <c r="D444" i="2"/>
  <c r="D343" i="2"/>
  <c r="D432" i="2"/>
  <c r="D721" i="2"/>
  <c r="D184" i="2"/>
  <c r="D360" i="2"/>
  <c r="D510" i="2"/>
  <c r="D627" i="2"/>
  <c r="D518" i="2"/>
  <c r="D88" i="2"/>
  <c r="D691" i="2"/>
  <c r="D588" i="2"/>
  <c r="D499" i="2"/>
  <c r="D560" i="2"/>
  <c r="D804" i="2"/>
  <c r="D803" i="2"/>
  <c r="D529" i="2"/>
  <c r="D869" i="2"/>
  <c r="D443" i="2"/>
  <c r="D930" i="2"/>
  <c r="D990" i="2"/>
  <c r="D875" i="2"/>
  <c r="D465" i="2"/>
  <c r="D8" i="2"/>
  <c r="D545" i="2"/>
  <c r="D868" i="2"/>
  <c r="D648" i="2"/>
  <c r="D261" i="2"/>
  <c r="D755" i="2"/>
  <c r="D134" i="2"/>
  <c r="D998" i="2"/>
  <c r="D259" i="2"/>
  <c r="D635" i="2"/>
  <c r="D458" i="2"/>
  <c r="D172" i="2"/>
  <c r="D548" i="2"/>
  <c r="D694" i="2"/>
  <c r="D611" i="2"/>
  <c r="D661" i="2"/>
  <c r="D482" i="2"/>
  <c r="D686" i="2"/>
  <c r="D860" i="2"/>
  <c r="D254" i="2"/>
  <c r="D219" i="2"/>
  <c r="D38" i="2"/>
  <c r="D561" i="2"/>
  <c r="D86" i="2"/>
  <c r="D882" i="2"/>
  <c r="D551" i="2"/>
  <c r="D433" i="2"/>
  <c r="D2" i="2"/>
  <c r="D578" i="2"/>
  <c r="D388" i="2"/>
  <c r="D285" i="2"/>
  <c r="D89" i="2"/>
  <c r="D941" i="2"/>
  <c r="D474" i="2"/>
  <c r="D540" i="2"/>
  <c r="D630" i="2"/>
  <c r="D914" i="2"/>
  <c r="D178" i="2"/>
  <c r="D125" i="2"/>
  <c r="D6" i="2"/>
  <c r="D878" i="2"/>
  <c r="D36" i="2"/>
  <c r="D636" i="2"/>
  <c r="D818" i="2"/>
  <c r="D448" i="2"/>
  <c r="D305" i="2"/>
  <c r="D496" i="2"/>
  <c r="D642" i="2"/>
  <c r="D30" i="2"/>
  <c r="D774" i="2"/>
  <c r="D604" i="2"/>
  <c r="D118" i="2"/>
  <c r="D242" i="2"/>
  <c r="D75" i="2"/>
  <c r="D654" i="2"/>
  <c r="D762" i="2"/>
  <c r="D179" i="2"/>
  <c r="D10" i="2"/>
  <c r="D468" i="2"/>
  <c r="D383" i="2"/>
  <c r="D659" i="2"/>
  <c r="D317" i="2"/>
  <c r="D57" i="2"/>
  <c r="D950" i="2"/>
  <c r="D845" i="2"/>
  <c r="D619" i="2"/>
  <c r="D742" i="2"/>
  <c r="D692" i="2"/>
  <c r="D531" i="2"/>
  <c r="D237" i="2"/>
  <c r="D396" i="2"/>
  <c r="D319" i="2"/>
  <c r="D747" i="2"/>
  <c r="D298" i="2"/>
  <c r="D798" i="2"/>
  <c r="D76" i="2"/>
  <c r="D37" i="2"/>
  <c r="D21" i="2"/>
  <c r="D278" i="2"/>
  <c r="D175" i="2"/>
  <c r="D393" i="2"/>
  <c r="D130" i="2"/>
  <c r="D55" i="2"/>
  <c r="D640" i="2"/>
  <c r="D813" i="2"/>
  <c r="D82" i="2"/>
  <c r="D246" i="2"/>
  <c r="D143" i="2"/>
  <c r="D722" i="2"/>
  <c r="D306" i="2"/>
  <c r="D52" i="2"/>
  <c r="D78" i="2"/>
  <c r="D39" i="2"/>
  <c r="D918" i="2"/>
  <c r="D170" i="2"/>
  <c r="D596" i="2"/>
  <c r="D7" i="2"/>
  <c r="D62" i="2"/>
  <c r="D862" i="2"/>
  <c r="D765" i="2"/>
  <c r="D609" i="2"/>
  <c r="D805" i="2"/>
  <c r="D226" i="2"/>
  <c r="D620" i="2"/>
  <c r="D582" i="2"/>
  <c r="D297" i="2"/>
  <c r="D110" i="2"/>
  <c r="D74" i="2"/>
  <c r="D994" i="2"/>
  <c r="D621" i="2"/>
  <c r="D148" i="2"/>
  <c r="D391" i="2"/>
  <c r="D957" i="2"/>
  <c r="D834" i="2"/>
  <c r="D939" i="2"/>
  <c r="D767" i="2"/>
  <c r="D679" i="2"/>
  <c r="D533" i="2"/>
  <c r="D265" i="2"/>
  <c r="D290" i="2"/>
  <c r="D288" i="2"/>
  <c r="D420" i="2"/>
  <c r="D122" i="2"/>
  <c r="D342" i="2"/>
  <c r="D239" i="2"/>
  <c r="D491" i="2"/>
  <c r="D240" i="2"/>
  <c r="D286" i="2"/>
  <c r="D119" i="2"/>
  <c r="D810" i="2"/>
  <c r="D537" i="2"/>
  <c r="D625" i="2"/>
  <c r="D51" i="2"/>
  <c r="D53" i="2"/>
  <c r="D207" i="2"/>
  <c r="D440" i="2"/>
  <c r="D116" i="2"/>
  <c r="D270" i="2"/>
  <c r="D167" i="2"/>
  <c r="D607" i="2"/>
  <c r="D790" i="2"/>
  <c r="D354" i="2"/>
  <c r="D135" i="2"/>
  <c r="D948" i="2"/>
  <c r="D646" i="2"/>
  <c r="D252" i="2"/>
  <c r="D213" i="2"/>
  <c r="D470" i="2"/>
  <c r="D718" i="2"/>
  <c r="D892" i="2"/>
  <c r="D196" i="2"/>
  <c r="D414" i="2"/>
  <c r="D682" i="2"/>
  <c r="D307" i="2"/>
  <c r="D274" i="2"/>
  <c r="D156" i="2"/>
  <c r="D244" i="2"/>
  <c r="D141" i="2"/>
  <c r="D398" i="2"/>
  <c r="D401" i="2"/>
  <c r="D301" i="2"/>
  <c r="D870" i="2"/>
  <c r="D773" i="2"/>
  <c r="D507" i="2"/>
  <c r="D702" i="2"/>
  <c r="D228" i="2"/>
  <c r="D427" i="2"/>
  <c r="D497" i="2"/>
  <c r="D407" i="2"/>
  <c r="D787" i="2"/>
  <c r="D673" i="2"/>
  <c r="D325" i="2"/>
  <c r="D287" i="2"/>
  <c r="D91" i="2"/>
  <c r="D980" i="2"/>
  <c r="D16" i="2"/>
  <c r="D472" i="2"/>
  <c r="D972" i="2"/>
  <c r="D216" i="2"/>
  <c r="D275" i="2"/>
  <c r="D365" i="2"/>
  <c r="D112" i="2"/>
  <c r="D788" i="2"/>
  <c r="D200" i="2"/>
  <c r="D871" i="2"/>
  <c r="D897" i="2"/>
  <c r="D857" i="2"/>
  <c r="D689" i="2"/>
  <c r="D961" i="2"/>
  <c r="D833" i="2"/>
  <c r="D451" i="2"/>
  <c r="D815" i="2"/>
  <c r="D672" i="2"/>
  <c r="D829" i="2"/>
  <c r="D140" i="2"/>
  <c r="D347" i="2"/>
  <c r="D361" i="2"/>
  <c r="D651" i="2"/>
  <c r="D151" i="2"/>
  <c r="D546" i="2"/>
  <c r="D257" i="2"/>
  <c r="D958" i="2"/>
  <c r="D46" i="2"/>
  <c r="D330" i="2"/>
  <c r="D205" i="2"/>
  <c r="D92" i="2"/>
  <c r="D483" i="2"/>
  <c r="D375" i="2"/>
  <c r="D350" i="2"/>
  <c r="D450" i="2"/>
  <c r="D536" i="2"/>
  <c r="D316" i="2"/>
  <c r="D732" i="2"/>
  <c r="D839" i="2"/>
  <c r="D825" i="2"/>
  <c r="D987" i="2"/>
  <c r="D898" i="2"/>
  <c r="D903" i="2"/>
  <c r="D144" i="2"/>
  <c r="D680" i="2"/>
  <c r="D816" i="2"/>
  <c r="D999" i="2"/>
  <c r="D801" i="2"/>
  <c r="D464" i="2"/>
  <c r="D591" i="2"/>
  <c r="D911" i="2"/>
  <c r="D667" i="2"/>
  <c r="D793" i="2"/>
  <c r="D336" i="2"/>
  <c r="D873" i="2"/>
  <c r="D603" i="2"/>
  <c r="D971" i="2"/>
  <c r="D863" i="2"/>
  <c r="D931" i="2"/>
  <c r="D559" i="2"/>
  <c r="D703" i="2"/>
  <c r="D266" i="2"/>
  <c r="D836" i="2"/>
  <c r="D916" i="2"/>
  <c r="D23" i="2"/>
  <c r="D740" i="2"/>
  <c r="D772" i="2"/>
  <c r="D419" i="2"/>
  <c r="D726" i="2"/>
  <c r="D77" i="2"/>
  <c r="D434" i="2"/>
  <c r="D502" i="2"/>
  <c r="D410" i="2"/>
  <c r="D639" i="2"/>
  <c r="D598" i="2"/>
  <c r="D781" i="2"/>
  <c r="D390" i="2"/>
  <c r="D744" i="2"/>
  <c r="D704" i="2"/>
  <c r="D264" i="2"/>
  <c r="D880" i="2"/>
  <c r="D984" i="2"/>
  <c r="D577" i="2"/>
  <c r="D720" i="2"/>
  <c r="D976" i="2"/>
  <c r="D769" i="2"/>
  <c r="D413" i="2"/>
  <c r="D895" i="2"/>
  <c r="D888" i="2"/>
  <c r="D513" i="2"/>
  <c r="D992" i="2"/>
  <c r="D915" i="2"/>
  <c r="D923" i="2"/>
  <c r="D575" i="2"/>
  <c r="D71" i="2"/>
  <c r="D105" i="2"/>
  <c r="D63" i="2"/>
  <c r="D555" i="2"/>
  <c r="D128" i="2"/>
  <c r="D159" i="2"/>
  <c r="D236" i="2"/>
  <c r="D471" i="2"/>
  <c r="D224" i="2"/>
  <c r="D340" i="2"/>
  <c r="D500" i="2"/>
  <c r="D746" i="2"/>
  <c r="D764" i="2"/>
  <c r="D782" i="2"/>
  <c r="D534" i="2"/>
  <c r="D506" i="2"/>
  <c r="D87" i="2"/>
  <c r="D696" i="2"/>
  <c r="D655" i="2"/>
  <c r="D426" i="2"/>
  <c r="D592" i="2"/>
  <c r="D792" i="2"/>
  <c r="D437" i="2"/>
  <c r="D539" i="2"/>
  <c r="D528" i="2"/>
  <c r="D953" i="2"/>
  <c r="D937" i="2"/>
  <c r="D864" i="2"/>
  <c r="D463" i="2"/>
  <c r="D312" i="2"/>
  <c r="D729" i="2"/>
  <c r="D968" i="2"/>
  <c r="D501" i="2"/>
  <c r="D907" i="2"/>
  <c r="D789" i="2"/>
  <c r="D72" i="2"/>
  <c r="D600" i="2"/>
  <c r="D234" i="2"/>
  <c r="D327" i="2"/>
  <c r="D633" i="2"/>
  <c r="D153" i="2"/>
  <c r="D942" i="2"/>
  <c r="D96" i="2"/>
  <c r="D190" i="2"/>
  <c r="D731" i="2"/>
  <c r="D372" i="2"/>
  <c r="D309" i="2"/>
  <c r="D154" i="2"/>
  <c r="D283" i="2"/>
  <c r="D25" i="2"/>
  <c r="D644" i="2"/>
  <c r="D653" i="2"/>
  <c r="D406" i="2"/>
  <c r="D442" i="2"/>
  <c r="D687" i="2"/>
  <c r="D281" i="2"/>
  <c r="D186" i="2"/>
  <c r="D83" i="2"/>
  <c r="D60" i="2"/>
  <c r="D380" i="2"/>
  <c r="D341" i="2"/>
  <c r="D150" i="2"/>
  <c r="D111" i="2"/>
  <c r="D754" i="2"/>
  <c r="D974" i="2"/>
  <c r="D956" i="2"/>
  <c r="D157" i="2"/>
  <c r="D349" i="2"/>
  <c r="D94" i="2"/>
  <c r="D581" i="2"/>
  <c r="D20" i="2"/>
  <c r="D282" i="2"/>
  <c r="D28" i="2"/>
  <c r="D412" i="2"/>
  <c r="D54" i="2"/>
  <c r="D182" i="2"/>
  <c r="D850" i="2"/>
  <c r="D142" i="2"/>
  <c r="D206" i="2"/>
  <c r="D231" i="2"/>
  <c r="D9" i="2"/>
  <c r="D251" i="2"/>
  <c r="D461" i="2"/>
  <c r="D302" i="2"/>
  <c r="D794" i="2"/>
  <c r="D168" i="2"/>
  <c r="D675" i="2"/>
  <c r="D195" i="2"/>
  <c r="D996" i="2"/>
  <c r="D417" i="2"/>
  <c r="D859" i="2"/>
  <c r="D34" i="2"/>
  <c r="D202" i="2"/>
  <c r="D495" i="2"/>
  <c r="D429" i="2"/>
  <c r="D901" i="2"/>
  <c r="D101" i="2"/>
  <c r="D191" i="2"/>
  <c r="D858" i="2"/>
  <c r="D337" i="2"/>
  <c r="D262" i="2"/>
  <c r="D5" i="2"/>
  <c r="D445" i="2"/>
  <c r="D989" i="2"/>
  <c r="D595" i="2"/>
  <c r="D428" i="2"/>
  <c r="D164" i="2"/>
  <c r="D701" i="2"/>
  <c r="D233" i="2"/>
  <c r="D759" i="2"/>
  <c r="D927" i="2"/>
  <c r="D488" i="2"/>
  <c r="D944" i="2"/>
  <c r="D872" i="2"/>
  <c r="D756" i="2"/>
  <c r="D849" i="2"/>
  <c r="D817" i="2"/>
  <c r="D291" i="2"/>
  <c r="D425" i="2"/>
  <c r="D935" i="2"/>
  <c r="D705" i="2"/>
  <c r="D841" i="2"/>
  <c r="D527" i="2"/>
  <c r="D919" i="2"/>
  <c r="D697" i="2"/>
  <c r="D775" i="2"/>
  <c r="D847" i="2"/>
  <c r="D238" i="2"/>
  <c r="D820" i="2"/>
  <c r="D622" i="2"/>
  <c r="D715" i="2"/>
  <c r="D363" i="2"/>
  <c r="D201" i="2"/>
  <c r="D986" i="2"/>
  <c r="D61" i="2"/>
  <c r="D795" i="2"/>
  <c r="D933" i="2"/>
  <c r="D84" i="2"/>
  <c r="D665" i="2"/>
  <c r="D462" i="2"/>
  <c r="D311" i="2"/>
  <c r="D24" i="2"/>
  <c r="D727" i="2"/>
  <c r="D22" i="2"/>
  <c r="D709" i="2"/>
  <c r="D716" i="2"/>
  <c r="B661" i="2"/>
  <c r="B546" i="2"/>
  <c r="B808" i="2"/>
  <c r="B358" i="2"/>
  <c r="B323" i="2"/>
  <c r="B751" i="2"/>
  <c r="B10" i="2"/>
  <c r="B967" i="2"/>
  <c r="R4" i="2"/>
  <c r="F490" i="2" s="1"/>
  <c r="B842" i="2"/>
  <c r="B30" i="2"/>
  <c r="B161" i="2"/>
  <c r="P5" i="2"/>
  <c r="Q5" i="2" s="1"/>
  <c r="B131" i="2"/>
  <c r="B687" i="2"/>
  <c r="B542" i="2"/>
  <c r="B818" i="2"/>
  <c r="B991" i="2"/>
  <c r="B847" i="2"/>
  <c r="B11" i="2"/>
  <c r="B287" i="2"/>
  <c r="B12" i="2"/>
  <c r="B39" i="2"/>
  <c r="B757" i="2"/>
  <c r="B744" i="2"/>
  <c r="B792" i="2"/>
  <c r="B181" i="2"/>
  <c r="B178" i="2"/>
  <c r="B360" i="2"/>
  <c r="B681" i="2"/>
  <c r="W4" i="2"/>
  <c r="D517" i="2" s="1"/>
  <c r="F288" i="2" l="1"/>
  <c r="F514" i="2"/>
  <c r="B848" i="2"/>
  <c r="F323" i="2"/>
  <c r="F785" i="2"/>
  <c r="F255" i="2"/>
  <c r="F855" i="2"/>
  <c r="F753" i="2"/>
  <c r="F808" i="2"/>
  <c r="F24" i="2"/>
  <c r="F874" i="2"/>
  <c r="F597" i="2"/>
  <c r="F839" i="2"/>
  <c r="F888" i="2"/>
  <c r="F578" i="2"/>
  <c r="F627" i="2"/>
  <c r="F583" i="2"/>
  <c r="F306" i="2"/>
  <c r="F246" i="2"/>
  <c r="F132" i="2"/>
  <c r="F557" i="2"/>
  <c r="F606" i="2"/>
  <c r="F194" i="2"/>
  <c r="F307" i="2"/>
  <c r="F28" i="2"/>
  <c r="D922" i="2"/>
  <c r="D486" i="2"/>
  <c r="D822" i="2"/>
  <c r="D955" i="2"/>
  <c r="D324" i="2"/>
  <c r="D485" i="2"/>
  <c r="D558" i="2"/>
  <c r="D569" i="2"/>
  <c r="D3" i="2"/>
  <c r="D573" i="2"/>
  <c r="D552" i="2"/>
  <c r="D562" i="2"/>
  <c r="D18" i="2"/>
  <c r="D807" i="2"/>
  <c r="D188" i="2"/>
  <c r="D932" i="2"/>
  <c r="D547" i="2"/>
  <c r="D481" i="2"/>
  <c r="D832" i="2"/>
  <c r="D526" i="2"/>
  <c r="D553" i="2"/>
  <c r="D66" i="2"/>
  <c r="D241" i="2"/>
  <c r="D550" i="2"/>
  <c r="D811" i="2"/>
  <c r="D292" i="2"/>
  <c r="D211" i="2"/>
  <c r="D583" i="2"/>
  <c r="D965" i="2"/>
  <c r="D570" i="2"/>
  <c r="D662" i="2"/>
  <c r="D599" i="2"/>
  <c r="D373" i="2"/>
  <c r="D634" i="2"/>
  <c r="D452" i="2"/>
  <c r="D780" i="2"/>
  <c r="D273" i="2"/>
  <c r="D19" i="2"/>
  <c r="D160" i="2"/>
  <c r="D628" i="2"/>
  <c r="D473" i="2"/>
  <c r="D177" i="2"/>
  <c r="D597" i="2"/>
  <c r="D584" i="2"/>
  <c r="D310" i="2"/>
  <c r="D940" i="2"/>
  <c r="D314" i="2"/>
  <c r="D17" i="2"/>
  <c r="D232" i="2"/>
  <c r="D438" i="2"/>
  <c r="D73" i="2"/>
  <c r="D359" i="2"/>
  <c r="D351" i="2"/>
  <c r="D315" i="2"/>
  <c r="D608" i="2"/>
  <c r="D385" i="2"/>
  <c r="D369" i="2"/>
  <c r="D723" i="2"/>
  <c r="D812" i="2"/>
  <c r="D263" i="2"/>
  <c r="D121" i="2"/>
  <c r="D828" i="2"/>
  <c r="D563" i="2"/>
  <c r="D853" i="2"/>
  <c r="D416" i="2"/>
  <c r="D743" i="2"/>
  <c r="D808" i="2"/>
  <c r="D541" i="2"/>
  <c r="D371" i="2"/>
  <c r="D515" i="2"/>
  <c r="D809" i="2"/>
  <c r="D664" i="2"/>
  <c r="D155" i="2"/>
  <c r="D304" i="2"/>
  <c r="D114" i="2"/>
  <c r="D590" i="2"/>
  <c r="D203" i="2"/>
  <c r="D693" i="2"/>
  <c r="D745" i="2"/>
  <c r="D909" i="2"/>
  <c r="D886" i="2"/>
  <c r="D738" i="2"/>
  <c r="D887" i="2"/>
  <c r="D952" i="2"/>
  <c r="D333" i="2"/>
  <c r="D255" i="2"/>
  <c r="D617" i="2"/>
  <c r="D381" i="2"/>
  <c r="D891" i="2"/>
  <c r="D900" i="2"/>
  <c r="D422" i="2"/>
  <c r="D303" i="2"/>
  <c r="D924" i="2"/>
  <c r="D844" i="2"/>
  <c r="D567" i="2"/>
  <c r="D469" i="2"/>
  <c r="D902" i="2"/>
  <c r="D660" i="2"/>
  <c r="D1000" i="2"/>
  <c r="D626" i="2"/>
  <c r="D367" i="2"/>
  <c r="D120" i="2"/>
  <c r="D717" i="2"/>
  <c r="D356" i="2"/>
  <c r="D504" i="2"/>
  <c r="D925" i="2"/>
  <c r="D230" i="2"/>
  <c r="D827" i="2"/>
  <c r="D735" i="2"/>
  <c r="D945" i="2"/>
  <c r="D169" i="2"/>
  <c r="D247" i="2"/>
  <c r="D524" i="2"/>
  <c r="D618" i="2"/>
  <c r="D478" i="2"/>
  <c r="D519" i="2"/>
  <c r="D272" i="2"/>
  <c r="D657" i="2"/>
  <c r="D748" i="2"/>
  <c r="D355" i="2"/>
  <c r="D346" i="2"/>
  <c r="D908" i="2"/>
  <c r="D784" i="2"/>
  <c r="D954" i="2"/>
  <c r="D449" i="2"/>
  <c r="D12" i="2"/>
  <c r="D876" i="2"/>
  <c r="D146" i="2"/>
  <c r="D85" i="2"/>
  <c r="D362" i="2"/>
  <c r="D668" i="2"/>
  <c r="D403" i="2"/>
  <c r="D454" i="2"/>
  <c r="D431" i="2"/>
  <c r="D556" i="2"/>
  <c r="D435" i="2"/>
  <c r="D326" i="2"/>
  <c r="D113" i="2"/>
  <c r="D59" i="2"/>
  <c r="D580" i="2"/>
  <c r="D690" i="2"/>
  <c r="D842" i="2"/>
  <c r="D683" i="2"/>
  <c r="D197" i="2"/>
  <c r="B265" i="2"/>
  <c r="D245" i="2"/>
  <c r="D494" i="2"/>
  <c r="D374" i="2"/>
  <c r="D299" i="2"/>
  <c r="D322" i="2"/>
  <c r="D295" i="2"/>
  <c r="D69" i="2"/>
  <c r="D929" i="2"/>
  <c r="D280" i="2"/>
  <c r="D29" i="2"/>
  <c r="D749" i="2"/>
  <c r="D124" i="2"/>
  <c r="D814" i="2"/>
  <c r="D926" i="2"/>
  <c r="D602" i="2"/>
  <c r="D158" i="2"/>
  <c r="D40" i="2"/>
  <c r="D492" i="2"/>
  <c r="D79" i="2"/>
  <c r="D549" i="2"/>
  <c r="D493" i="2"/>
  <c r="D623" i="2"/>
  <c r="D610" i="2"/>
  <c r="D983" i="2"/>
  <c r="D199" i="2"/>
  <c r="D997" i="2"/>
  <c r="D227" i="2"/>
  <c r="D995" i="2"/>
  <c r="D45" i="2"/>
  <c r="D370" i="2"/>
  <c r="D557" i="2"/>
  <c r="D26" i="2"/>
  <c r="D516" i="2"/>
  <c r="D606" i="2"/>
  <c r="D408" i="2"/>
  <c r="D253" i="2"/>
  <c r="D192" i="2"/>
  <c r="D867" i="2"/>
  <c r="D123" i="2"/>
  <c r="D969" i="2"/>
  <c r="D352" i="2"/>
  <c r="D988" i="2"/>
  <c r="D418" i="2"/>
  <c r="D631" i="2"/>
  <c r="D970" i="2"/>
  <c r="D964" i="2"/>
  <c r="D866" i="2"/>
  <c r="D959" i="2"/>
  <c r="D276" i="2"/>
  <c r="D293" i="2"/>
  <c r="D585" i="2"/>
  <c r="D949" i="2"/>
  <c r="D802" i="2"/>
  <c r="D708" i="2"/>
  <c r="D27" i="2"/>
  <c r="D58" i="2"/>
  <c r="D684" i="2"/>
  <c r="D670" i="2"/>
  <c r="D47" i="2"/>
  <c r="D447" i="2"/>
  <c r="D572" i="2"/>
  <c r="D677" i="2"/>
  <c r="D752" i="2"/>
  <c r="D108" i="2"/>
  <c r="D951" i="2"/>
  <c r="D824" i="2"/>
  <c r="D678" i="2"/>
  <c r="D699" i="2"/>
  <c r="D139" i="2"/>
  <c r="D423" i="2"/>
  <c r="D300" i="2"/>
  <c r="D685" i="2"/>
  <c r="D364" i="2"/>
  <c r="D377" i="2"/>
  <c r="D643" i="2"/>
  <c r="D409" i="2"/>
  <c r="D41" i="2"/>
  <c r="D498" i="2"/>
  <c r="D421" i="2"/>
  <c r="D910" i="2"/>
  <c r="D637" i="2"/>
  <c r="D521" i="2"/>
  <c r="D733" i="2"/>
  <c r="D700" i="2"/>
  <c r="D466" i="2"/>
  <c r="D332" i="2"/>
  <c r="D480" i="2"/>
  <c r="D215" i="2"/>
  <c r="D269" i="2"/>
  <c r="D296" i="2"/>
  <c r="D535" i="2"/>
  <c r="D93" i="2"/>
  <c r="D32" i="2"/>
  <c r="D65" i="2"/>
  <c r="D981" i="2"/>
  <c r="D821" i="2"/>
  <c r="D33" i="2"/>
  <c r="D934" i="2"/>
  <c r="D710" i="2"/>
  <c r="D649" i="2"/>
  <c r="D615" i="2"/>
  <c r="D43" i="2"/>
  <c r="D766" i="2"/>
  <c r="D217" i="2"/>
  <c r="D166" i="2"/>
  <c r="D165" i="2"/>
  <c r="D376" i="2"/>
  <c r="D268" i="2"/>
  <c r="B460" i="2"/>
  <c r="B84" i="2"/>
  <c r="B480" i="2"/>
  <c r="B912" i="2"/>
  <c r="B305" i="2"/>
  <c r="B468" i="2"/>
  <c r="B34" i="2"/>
  <c r="B436" i="2"/>
  <c r="B593" i="2"/>
  <c r="P6" i="2"/>
  <c r="Q6" i="2" s="1"/>
  <c r="B282" i="2"/>
  <c r="B464" i="2"/>
  <c r="B695" i="2"/>
  <c r="B267" i="2"/>
  <c r="B601" i="2"/>
  <c r="B810" i="2"/>
  <c r="B235" i="2"/>
  <c r="B422" i="2"/>
  <c r="B409" i="2"/>
  <c r="B221" i="2"/>
  <c r="B505" i="2"/>
  <c r="B961" i="2"/>
  <c r="B679" i="2"/>
  <c r="W5" i="2"/>
  <c r="R5" i="2"/>
  <c r="F749" i="2" s="1"/>
  <c r="F309" i="2" l="1"/>
  <c r="F69" i="2"/>
  <c r="F172" i="2"/>
  <c r="F452" i="2"/>
  <c r="F604" i="2"/>
  <c r="F394" i="2"/>
  <c r="F6" i="2"/>
  <c r="F932" i="2"/>
  <c r="F304" i="2"/>
  <c r="F372" i="2"/>
  <c r="F689" i="2"/>
  <c r="F835" i="2"/>
  <c r="F769" i="2"/>
  <c r="F536" i="2"/>
  <c r="B333" i="2"/>
  <c r="F378" i="2"/>
  <c r="F616" i="2"/>
  <c r="F682" i="2"/>
  <c r="F155" i="2"/>
  <c r="F760" i="2"/>
  <c r="F934" i="2"/>
  <c r="F54" i="2"/>
  <c r="F391" i="2"/>
  <c r="F70" i="2"/>
  <c r="F853" i="2"/>
  <c r="D881" i="2"/>
  <c r="D397" i="2"/>
  <c r="D248" i="2"/>
  <c r="D800" i="2"/>
  <c r="D865" i="2"/>
  <c r="D840" i="2"/>
  <c r="D104" i="2"/>
  <c r="D707" i="2"/>
  <c r="D208" i="2"/>
  <c r="D357" i="2"/>
  <c r="D791" i="2"/>
  <c r="D975" i="2"/>
  <c r="D796" i="2"/>
  <c r="D904" i="2"/>
  <c r="D80" i="2"/>
  <c r="D522" i="2"/>
  <c r="D48" i="2"/>
  <c r="D712" i="2"/>
  <c r="D137" i="2"/>
  <c r="D778" i="2"/>
  <c r="D960" i="2"/>
  <c r="D187" i="2"/>
  <c r="D320" i="2"/>
  <c r="D353" i="2"/>
  <c r="D736" i="2"/>
  <c r="D389" i="2"/>
  <c r="D656" i="2"/>
  <c r="D993" i="2"/>
  <c r="D564" i="2"/>
  <c r="D115" i="2"/>
  <c r="D806" i="2"/>
  <c r="D613" i="2"/>
  <c r="D145" i="2"/>
  <c r="D446" i="2"/>
  <c r="D586" i="2"/>
  <c r="D566" i="2"/>
  <c r="D98" i="2"/>
  <c r="D453" i="2"/>
  <c r="D424" i="2"/>
  <c r="D861" i="2"/>
  <c r="D460" i="2"/>
  <c r="D214" i="2"/>
  <c r="D538" i="2"/>
  <c r="D14" i="2"/>
  <c r="D799" i="2"/>
  <c r="D714" i="2"/>
  <c r="D358" i="2"/>
  <c r="D243" i="2"/>
  <c r="D831" i="2"/>
  <c r="D97" i="2"/>
  <c r="D695" i="2"/>
  <c r="D411" i="2"/>
  <c r="D663" i="2"/>
  <c r="D181" i="2"/>
  <c r="D797" i="2"/>
  <c r="D739" i="2"/>
  <c r="D106" i="2"/>
  <c r="D459" i="2"/>
  <c r="D386" i="2"/>
  <c r="D173" i="2"/>
  <c r="D479" i="2"/>
  <c r="D688" i="2"/>
  <c r="D676" i="2"/>
  <c r="D90" i="2"/>
  <c r="D991" i="2"/>
  <c r="D382" i="2"/>
  <c r="D906" i="2"/>
  <c r="D884" i="2"/>
  <c r="D893" i="2"/>
  <c r="D851" i="2"/>
  <c r="D938" i="2"/>
  <c r="D544" i="2"/>
  <c r="D42" i="2"/>
  <c r="D129" i="2"/>
  <c r="D67" i="2"/>
  <c r="D221" i="2"/>
  <c r="D487" i="2"/>
  <c r="D457" i="2"/>
  <c r="D308" i="2"/>
  <c r="D95" i="2"/>
  <c r="D162" i="2"/>
  <c r="D830" i="2"/>
  <c r="D212" i="2"/>
  <c r="D894" i="2"/>
  <c r="D335" i="2"/>
  <c r="D525" i="2"/>
  <c r="D614" i="2"/>
  <c r="D331" i="2"/>
  <c r="D883" i="2"/>
  <c r="D204" i="2"/>
  <c r="D512" i="2"/>
  <c r="D127" i="2"/>
  <c r="D133" i="2"/>
  <c r="D719" i="2"/>
  <c r="D193" i="2"/>
  <c r="D384" i="2"/>
  <c r="D441" i="2"/>
  <c r="D194" i="2"/>
  <c r="D218" i="2"/>
  <c r="D750" i="2"/>
  <c r="D761" i="2"/>
  <c r="D318" i="2"/>
  <c r="D737" i="2"/>
  <c r="D163" i="2"/>
  <c r="D760" i="2"/>
  <c r="D730" i="2"/>
  <c r="D250" i="2"/>
  <c r="D56" i="2"/>
  <c r="D402" i="2"/>
  <c r="D395" i="2"/>
  <c r="D629" i="2"/>
  <c r="D489" i="2"/>
  <c r="D554" i="2"/>
  <c r="D770" i="2"/>
  <c r="D758" i="2"/>
  <c r="D152" i="2"/>
  <c r="D209" i="2"/>
  <c r="D786" i="2"/>
  <c r="D698" i="2"/>
  <c r="D68" i="2"/>
  <c r="D13" i="2"/>
  <c r="D713" i="2"/>
  <c r="D249" i="2"/>
  <c r="D624" i="2"/>
  <c r="D138" i="2"/>
  <c r="D587" i="2"/>
  <c r="D31" i="2"/>
  <c r="D973" i="2"/>
  <c r="D838" i="2"/>
  <c r="D877" i="2"/>
  <c r="D874" i="2"/>
  <c r="D899" i="2"/>
  <c r="D523" i="2"/>
  <c r="D171" i="2"/>
  <c r="D136" i="2"/>
  <c r="D415" i="2"/>
  <c r="B773" i="2"/>
  <c r="B268" i="2"/>
  <c r="B867" i="2"/>
  <c r="B172" i="2"/>
  <c r="B200" i="2"/>
  <c r="B861" i="2"/>
  <c r="B680" i="2"/>
  <c r="P7" i="2"/>
  <c r="Q7" i="2" s="1"/>
  <c r="B598" i="2"/>
  <c r="B338" i="2"/>
  <c r="B326" i="2"/>
  <c r="B41" i="2"/>
  <c r="B427" i="2"/>
  <c r="B550" i="2"/>
  <c r="B357" i="2"/>
  <c r="B83" i="2"/>
  <c r="R6" i="2"/>
  <c r="B355" i="2" s="1"/>
  <c r="F887" i="2" l="1"/>
  <c r="F119" i="2"/>
  <c r="F101" i="2"/>
  <c r="F643" i="2"/>
  <c r="F149" i="2"/>
  <c r="F535" i="2"/>
  <c r="F966" i="2"/>
  <c r="F113" i="2"/>
  <c r="F722" i="2"/>
  <c r="F953" i="2"/>
  <c r="F882" i="2"/>
  <c r="F398" i="2"/>
  <c r="F880" i="2"/>
  <c r="F532" i="2"/>
  <c r="F922" i="2"/>
  <c r="F869" i="2"/>
  <c r="B954" i="2"/>
  <c r="B127" i="2"/>
  <c r="B889" i="2"/>
  <c r="B482" i="2"/>
  <c r="B220" i="2"/>
  <c r="B927" i="2"/>
  <c r="B446" i="2"/>
  <c r="B814" i="2"/>
  <c r="B668" i="2"/>
  <c r="B381" i="2"/>
  <c r="B245" i="2"/>
  <c r="B973" i="2"/>
  <c r="P8" i="2"/>
  <c r="Q8" i="2" s="1"/>
  <c r="B782" i="2"/>
  <c r="R7" i="2"/>
  <c r="F478" i="2" s="1"/>
  <c r="B799" i="2" l="1"/>
  <c r="F629" i="2"/>
  <c r="F813" i="2"/>
  <c r="F797" i="2"/>
  <c r="P9" i="2"/>
  <c r="Q9" i="2" s="1"/>
  <c r="F958" i="2" s="1"/>
  <c r="R8" i="2"/>
  <c r="F567" i="2" s="1"/>
  <c r="F915" i="2" l="1"/>
  <c r="F816" i="2"/>
  <c r="F162" i="2"/>
  <c r="F747" i="2"/>
  <c r="F817" i="2"/>
  <c r="F399" i="2"/>
  <c r="F589" i="2"/>
  <c r="F170" i="2"/>
  <c r="F709" i="2"/>
  <c r="F156" i="2"/>
  <c r="F224" i="2"/>
  <c r="F969" i="2"/>
  <c r="F592" i="2"/>
  <c r="F110" i="2"/>
  <c r="F763" i="2"/>
  <c r="F367" i="2"/>
  <c r="F404" i="2"/>
  <c r="F684" i="2"/>
  <c r="F845" i="2"/>
  <c r="F507" i="2"/>
  <c r="F963" i="2"/>
  <c r="F647" i="2"/>
  <c r="F274" i="2"/>
  <c r="F338" i="2"/>
  <c r="F433" i="2"/>
  <c r="F702" i="2"/>
  <c r="F405" i="2"/>
  <c r="F757" i="2"/>
  <c r="F598" i="2"/>
  <c r="F933" i="2"/>
  <c r="F841" i="2"/>
  <c r="F105" i="2"/>
  <c r="F446" i="2"/>
  <c r="F80" i="2"/>
  <c r="F76" i="2"/>
  <c r="F987" i="2"/>
  <c r="F717" i="2"/>
  <c r="F450" i="2"/>
  <c r="F303" i="2"/>
  <c r="F584" i="2"/>
  <c r="F600" i="2"/>
  <c r="F894" i="2"/>
  <c r="F106" i="2"/>
  <c r="F918" i="2"/>
  <c r="F822" i="2"/>
  <c r="F796" i="2"/>
  <c r="F706" i="2"/>
  <c r="F71" i="2"/>
  <c r="F994" i="2"/>
  <c r="F786" i="2"/>
  <c r="F352" i="2"/>
  <c r="F780" i="2"/>
  <c r="F553" i="2"/>
  <c r="F908" i="2"/>
  <c r="F473" i="2"/>
  <c r="F884" i="2"/>
  <c r="F765" i="2"/>
  <c r="F241" i="2"/>
  <c r="F954" i="2"/>
  <c r="F530" i="2"/>
  <c r="F318" i="2"/>
  <c r="F187" i="2"/>
  <c r="F755" i="2"/>
  <c r="F529" i="2"/>
  <c r="F269" i="2"/>
  <c r="F177" i="2"/>
  <c r="F72" i="2"/>
  <c r="F571" i="2"/>
  <c r="F16" i="2"/>
  <c r="F157" i="2"/>
  <c r="F555" i="2"/>
  <c r="F188" i="2"/>
  <c r="F718" i="2"/>
  <c r="F413" i="2"/>
  <c r="F387" i="2"/>
  <c r="F764" i="2"/>
  <c r="F506" i="2"/>
  <c r="F202" i="2"/>
  <c r="F476" i="2"/>
  <c r="F115" i="2"/>
  <c r="F720" i="2"/>
  <c r="F493" i="2"/>
  <c r="F53" i="2"/>
  <c r="F906" i="2"/>
  <c r="F743" i="2"/>
  <c r="F867" i="2"/>
  <c r="F581" i="2"/>
  <c r="F585" i="2"/>
  <c r="F782" i="2"/>
  <c r="F331" i="2"/>
  <c r="F761" i="2"/>
  <c r="F400" i="2"/>
  <c r="F798" i="2"/>
  <c r="F267" i="2"/>
  <c r="F787" i="2"/>
  <c r="F217" i="2"/>
  <c r="F238" i="2"/>
  <c r="F144" i="2"/>
  <c r="F832" i="2"/>
  <c r="F568" i="2"/>
  <c r="F203" i="2"/>
  <c r="F295" i="2"/>
  <c r="F896" i="2"/>
  <c r="F667" i="2"/>
  <c r="F386" i="2"/>
  <c r="F658" i="2"/>
  <c r="F554" i="2"/>
  <c r="F278" i="2"/>
  <c r="F574" i="2"/>
  <c r="F750" i="2"/>
  <c r="F622" i="2"/>
  <c r="F329" i="2"/>
  <c r="F474" i="2"/>
  <c r="F374" i="2"/>
  <c r="F98" i="2"/>
  <c r="F264" i="2"/>
  <c r="F531" i="2"/>
  <c r="F902" i="2"/>
  <c r="F543" i="2"/>
  <c r="F464" i="2"/>
  <c r="F842" i="2"/>
  <c r="F407" i="2"/>
  <c r="F118" i="2"/>
  <c r="F256" i="2"/>
  <c r="F3" i="2"/>
  <c r="F30" i="2"/>
  <c r="F850" i="2"/>
  <c r="F569" i="2"/>
  <c r="F784" i="2"/>
  <c r="F436" i="2"/>
  <c r="F744" i="2"/>
  <c r="F230" i="2"/>
  <c r="F290" i="2"/>
  <c r="F728" i="2"/>
  <c r="F141" i="2"/>
  <c r="F562" i="2"/>
  <c r="F365" i="2"/>
  <c r="F697" i="2"/>
  <c r="F854" i="2"/>
  <c r="F49" i="2"/>
  <c r="F45" i="2"/>
  <c r="F390" i="2"/>
  <c r="F588" i="2"/>
  <c r="F239" i="2"/>
  <c r="F388" i="2"/>
  <c r="F463" i="2"/>
  <c r="F734" i="2"/>
  <c r="F444" i="2"/>
  <c r="F363" i="2"/>
  <c r="F634" i="2"/>
  <c r="F637" i="2"/>
  <c r="F828" i="2"/>
  <c r="F458" i="2"/>
  <c r="F550" i="2"/>
  <c r="F545" i="2"/>
  <c r="F756" i="2"/>
  <c r="F865" i="2"/>
  <c r="F200" i="2"/>
  <c r="F205" i="2"/>
  <c r="F422" i="2"/>
  <c r="F484" i="2"/>
  <c r="F227" i="2"/>
  <c r="F477" i="2"/>
  <c r="F499" i="2"/>
  <c r="F68" i="2"/>
  <c r="F325" i="2"/>
  <c r="F510" i="2"/>
  <c r="F993" i="2"/>
  <c r="F169" i="2"/>
  <c r="F911" i="2"/>
  <c r="F291" i="2"/>
  <c r="F351" i="2"/>
  <c r="F322" i="2"/>
  <c r="F517" i="2"/>
  <c r="F385" i="2"/>
  <c r="F466" i="2"/>
  <c r="F320" i="2"/>
  <c r="F97" i="2"/>
  <c r="F287" i="2"/>
  <c r="F872" i="2"/>
  <c r="F836" i="2"/>
  <c r="F186" i="2"/>
  <c r="F362" i="2"/>
  <c r="F409" i="2"/>
  <c r="F108" i="2"/>
  <c r="F199" i="2"/>
  <c r="F37" i="2"/>
  <c r="F938" i="2"/>
  <c r="F612" i="2"/>
  <c r="F342" i="2"/>
  <c r="F524" i="2"/>
  <c r="F983" i="2"/>
  <c r="F429" i="2"/>
  <c r="F214" i="2"/>
  <c r="F333" i="2"/>
  <c r="F19" i="2"/>
  <c r="F370" i="2"/>
  <c r="F81" i="2"/>
  <c r="F837" i="2"/>
  <c r="F487" i="2"/>
  <c r="F315" i="2"/>
  <c r="F815" i="2"/>
  <c r="F11" i="2"/>
  <c r="F948" i="2"/>
  <c r="F381" i="2"/>
  <c r="F220" i="2"/>
  <c r="F345" i="2"/>
  <c r="F670" i="2"/>
  <c r="F834" i="2"/>
  <c r="F129" i="2"/>
  <c r="F428" i="2"/>
  <c r="F133" i="2"/>
  <c r="F577" i="2"/>
  <c r="F212" i="2"/>
  <c r="F998" i="2"/>
  <c r="F847" i="2"/>
  <c r="F153" i="2"/>
  <c r="F582" i="2"/>
  <c r="F350" i="2"/>
  <c r="F516" i="2"/>
  <c r="F866" i="2"/>
  <c r="F12" i="2"/>
  <c r="F903" i="2"/>
  <c r="F544" i="2"/>
  <c r="F174" i="2"/>
  <c r="F789" i="2"/>
  <c r="F66" i="2"/>
  <c r="F8" i="2"/>
  <c r="F624" i="2"/>
  <c r="F171" i="2"/>
  <c r="F971" i="2"/>
  <c r="F419" i="2"/>
  <c r="F451" i="2"/>
  <c r="F384" i="2"/>
  <c r="F299" i="2"/>
  <c r="F250" i="2"/>
  <c r="F768" i="2"/>
  <c r="F424" i="2"/>
  <c r="F631" i="2"/>
  <c r="F645" i="2"/>
  <c r="F652" i="2"/>
  <c r="F52" i="2"/>
  <c r="F640" i="2"/>
  <c r="F533" i="2"/>
  <c r="F75" i="2"/>
  <c r="F83" i="2"/>
  <c r="F672" i="2"/>
  <c r="F546" i="2"/>
  <c r="F857" i="2"/>
  <c r="F783" i="2"/>
  <c r="F283" i="2"/>
  <c r="F732" i="2"/>
  <c r="F354" i="2"/>
  <c r="F449" i="2"/>
  <c r="F234" i="2"/>
  <c r="F570" i="2"/>
  <c r="F29" i="2"/>
  <c r="F653" i="2"/>
  <c r="F549" i="2"/>
  <c r="F525" i="2"/>
  <c r="F724" i="2"/>
  <c r="F163" i="2"/>
  <c r="F719" i="2"/>
  <c r="F710" i="2"/>
  <c r="F518" i="2"/>
  <c r="F376" i="2"/>
  <c r="F216" i="2"/>
  <c r="F551" i="2"/>
  <c r="F89" i="2"/>
  <c r="F687" i="2"/>
  <c r="F327" i="2"/>
  <c r="F501" i="2"/>
  <c r="F776" i="2"/>
  <c r="F625" i="2"/>
  <c r="F435" i="2"/>
  <c r="F566" i="2"/>
  <c r="F539" i="2"/>
  <c r="F465" i="2"/>
  <c r="F308" i="2"/>
  <c r="F989" i="2"/>
  <c r="F668" i="2"/>
  <c r="F355" i="2"/>
  <c r="F286" i="2"/>
  <c r="F211" i="2"/>
  <c r="F178" i="2"/>
  <c r="F60" i="2"/>
  <c r="F343" i="2"/>
  <c r="F848" i="2"/>
  <c r="F14" i="2"/>
  <c r="F61" i="2"/>
  <c r="F955" i="2"/>
  <c r="F599" i="2"/>
  <c r="F630" i="2"/>
  <c r="F843" i="2"/>
  <c r="F678" i="2"/>
  <c r="F601" i="2"/>
  <c r="F960" i="2"/>
  <c r="F319" i="2"/>
  <c r="F607" i="2"/>
  <c r="F414" i="2"/>
  <c r="F73" i="2"/>
  <c r="F207" i="2"/>
  <c r="F67" i="2"/>
  <c r="F218" i="2"/>
  <c r="F712" i="2"/>
  <c r="F142" i="2"/>
  <c r="F281" i="2"/>
  <c r="F46" i="2"/>
  <c r="F201" i="2"/>
  <c r="F455" i="2"/>
  <c r="F86" i="2"/>
  <c r="F103" i="2"/>
  <c r="F480" i="2"/>
  <c r="F139" i="2"/>
  <c r="F992" i="2"/>
  <c r="F856" i="2"/>
  <c r="F282" i="2"/>
  <c r="F498" i="2"/>
  <c r="F229" i="2"/>
  <c r="F38" i="2"/>
  <c r="F770" i="2"/>
  <c r="F261" i="2"/>
  <c r="F626" i="2"/>
  <c r="F296" i="2"/>
  <c r="F593" i="2"/>
  <c r="F298" i="2"/>
  <c r="F348" i="2"/>
  <c r="F150" i="2"/>
  <c r="F421" i="2"/>
  <c r="F114" i="2"/>
  <c r="F559" i="2"/>
  <c r="F519" i="2"/>
  <c r="F686" i="2"/>
  <c r="F22" i="2"/>
  <c r="F889" i="2"/>
  <c r="F521" i="2"/>
  <c r="F904" i="2"/>
  <c r="F851" i="2"/>
  <c r="F984" i="2"/>
  <c r="F311" i="2"/>
  <c r="F146" i="2"/>
  <c r="F811" i="2"/>
  <c r="F326" i="2"/>
  <c r="F360" i="2"/>
  <c r="F143" i="2"/>
  <c r="F102" i="2"/>
  <c r="F467" i="2"/>
  <c r="F736" i="2"/>
  <c r="F558" i="2"/>
  <c r="F314" i="2"/>
  <c r="F137" i="2"/>
  <c r="F951" i="2"/>
  <c r="F890" i="2"/>
  <c r="F55" i="2"/>
  <c r="F332" i="2"/>
  <c r="F17" i="2"/>
  <c r="F240" i="2"/>
  <c r="F862" i="2"/>
  <c r="F340" i="2"/>
  <c r="F636" i="2"/>
  <c r="F957" i="2"/>
  <c r="F262" i="2"/>
  <c r="F873" i="2"/>
  <c r="F504" i="2"/>
  <c r="F576" i="2"/>
  <c r="F148" i="2"/>
  <c r="F371" i="2"/>
  <c r="F403" i="2"/>
  <c r="F528" i="2"/>
  <c r="F154" i="2"/>
  <c r="F936" i="2"/>
  <c r="F356" i="2"/>
  <c r="F779" i="2"/>
  <c r="F418" i="2"/>
  <c r="F619" i="2"/>
  <c r="F179" i="2"/>
  <c r="F508" i="2"/>
  <c r="F233" i="2"/>
  <c r="F411" i="2"/>
  <c r="F692" i="2"/>
  <c r="F459" i="2"/>
  <c r="F100" i="2"/>
  <c r="F235" i="2"/>
  <c r="F176" i="2"/>
  <c r="F44" i="2"/>
  <c r="F130" i="2"/>
  <c r="F791" i="2"/>
  <c r="F679" i="2"/>
  <c r="F396" i="2"/>
  <c r="F564" i="2"/>
  <c r="F488" i="2"/>
  <c r="F305" i="2"/>
  <c r="F820" i="2"/>
  <c r="F346" i="2"/>
  <c r="F503" i="2"/>
  <c r="F47" i="2"/>
  <c r="F991" i="2"/>
  <c r="F656" i="2"/>
  <c r="F265" i="2"/>
  <c r="F64" i="2"/>
  <c r="F104" i="2"/>
  <c r="F40" i="2"/>
  <c r="F90" i="2"/>
  <c r="F191" i="2"/>
  <c r="F648" i="2"/>
  <c r="F5" i="2"/>
  <c r="F885" i="2"/>
  <c r="F810" i="2"/>
  <c r="F500" i="2"/>
  <c r="F981" i="2"/>
  <c r="F195" i="2"/>
  <c r="F204" i="2"/>
  <c r="F164" i="2"/>
  <c r="F426" i="2"/>
  <c r="F279" i="2"/>
  <c r="F268" i="2"/>
  <c r="F57" i="2"/>
  <c r="F905" i="2"/>
  <c r="F863" i="2"/>
  <c r="F1001" i="2"/>
  <c r="F899" i="2"/>
  <c r="F219" i="2"/>
  <c r="F927" i="2"/>
  <c r="F739" i="2"/>
  <c r="F93" i="2"/>
  <c r="F112" i="2"/>
  <c r="F127" i="2"/>
  <c r="F806" i="2"/>
  <c r="F1000" i="2"/>
  <c r="F891" i="2"/>
  <c r="F412" i="2"/>
  <c r="F920" i="2"/>
  <c r="F852" i="2"/>
  <c r="F10" i="2"/>
  <c r="F792" i="2"/>
  <c r="F788" i="2"/>
  <c r="F946" i="2"/>
  <c r="F860" i="2"/>
  <c r="F397" i="2"/>
  <c r="F745" i="2"/>
  <c r="F486" i="2"/>
  <c r="F935" i="2"/>
  <c r="F775" i="2"/>
  <c r="F469" i="2"/>
  <c r="F708" i="2"/>
  <c r="F84" i="2"/>
  <c r="F237" i="2"/>
  <c r="F615" i="2"/>
  <c r="F85" i="2"/>
  <c r="F339" i="2"/>
  <c r="F379" i="2"/>
  <c r="F78" i="2"/>
  <c r="F547" i="2"/>
  <c r="F586" i="2"/>
  <c r="F125" i="2"/>
  <c r="F572" i="2"/>
  <c r="F758" i="2"/>
  <c r="F347" i="2"/>
  <c r="F263" i="2"/>
  <c r="F366" i="2"/>
  <c r="F423" i="2"/>
  <c r="F655" i="2"/>
  <c r="F271" i="2"/>
  <c r="F228" i="2"/>
  <c r="F520" i="2"/>
  <c r="F180" i="2"/>
  <c r="F608" i="2"/>
  <c r="F193" i="2"/>
  <c r="F20" i="2"/>
  <c r="F729" i="2"/>
  <c r="F324" i="2"/>
  <c r="F587" i="2"/>
  <c r="F334" i="2"/>
  <c r="F275" i="2"/>
  <c r="F897" i="2"/>
  <c r="F134" i="2"/>
  <c r="F368" i="2"/>
  <c r="F135" i="2"/>
  <c r="F639" i="2"/>
  <c r="F300" i="2"/>
  <c r="F297" i="2"/>
  <c r="F336" i="2"/>
  <c r="F482" i="2"/>
  <c r="F136" i="2"/>
  <c r="F965" i="2"/>
  <c r="F312" i="2"/>
  <c r="F33" i="2"/>
  <c r="F659" i="2"/>
  <c r="F293" i="2"/>
  <c r="F912" i="2"/>
  <c r="F416" i="2"/>
  <c r="F292" i="2"/>
  <c r="F35" i="2"/>
  <c r="F677" i="2"/>
  <c r="F62" i="2"/>
  <c r="F222" i="2"/>
  <c r="F875" i="2"/>
  <c r="F383" i="2"/>
  <c r="F328" i="2"/>
  <c r="F704" i="2"/>
  <c r="F51" i="2"/>
  <c r="F369" i="2"/>
  <c r="F492" i="2"/>
  <c r="F962" i="2"/>
  <c r="F120" i="2"/>
  <c r="F762" i="2"/>
  <c r="F31" i="2"/>
  <c r="F669" i="2"/>
  <c r="F741" i="2"/>
  <c r="F63" i="2"/>
  <c r="F611" i="2"/>
  <c r="F138" i="2"/>
  <c r="F711" i="2"/>
  <c r="F111" i="2"/>
  <c r="F392" i="2"/>
  <c r="F301" i="2"/>
  <c r="F595" i="2"/>
  <c r="F898" i="2"/>
  <c r="F59" i="2"/>
  <c r="F74" i="2"/>
  <c r="F470" i="2"/>
  <c r="F982" i="2"/>
  <c r="F617" i="2"/>
  <c r="F48" i="2"/>
  <c r="F270" i="2"/>
  <c r="F737" i="2"/>
  <c r="F825" i="2"/>
  <c r="F930" i="2"/>
  <c r="F198" i="2"/>
  <c r="F335" i="2"/>
  <c r="F483" i="2"/>
  <c r="F680" i="2"/>
  <c r="F34" i="2"/>
  <c r="F703" i="2"/>
  <c r="F919" i="2"/>
  <c r="F497" i="2"/>
  <c r="F87" i="2"/>
  <c r="F475" i="2"/>
  <c r="F277" i="2"/>
  <c r="F580" i="2"/>
  <c r="F147" i="2"/>
  <c r="F213" i="2"/>
  <c r="F814" i="2"/>
  <c r="F181" i="2"/>
  <c r="F802" i="2"/>
  <c r="F7" i="2"/>
  <c r="F623" i="2"/>
  <c r="F560" i="2"/>
  <c r="F693" i="2"/>
  <c r="F620" i="2"/>
  <c r="F695" i="2"/>
  <c r="F128" i="2"/>
  <c r="F663" i="2"/>
  <c r="F168" i="2"/>
  <c r="F461" i="2"/>
  <c r="F968" i="2"/>
  <c r="F361" i="2"/>
  <c r="F223" i="2"/>
  <c r="F661" i="2"/>
  <c r="F258" i="2"/>
  <c r="F27" i="2"/>
  <c r="F456" i="2"/>
  <c r="F823" i="2"/>
  <c r="F733" i="2"/>
  <c r="F330" i="2"/>
  <c r="F197" i="2"/>
  <c r="F556" i="2"/>
  <c r="F13" i="2"/>
  <c r="F999" i="2"/>
  <c r="F252" i="2"/>
  <c r="F406" i="2"/>
  <c r="F92" i="2"/>
  <c r="F893" i="2"/>
  <c r="F895" i="2"/>
  <c r="F116" i="2"/>
  <c r="F621" i="2"/>
  <c r="F276" i="2"/>
  <c r="F579" i="2"/>
  <c r="F313" i="2"/>
  <c r="F742" i="2"/>
  <c r="F913" i="2"/>
  <c r="F244" i="2"/>
  <c r="F552" i="2"/>
  <c r="F573" i="2"/>
  <c r="F344" i="2"/>
  <c r="F766" i="2"/>
  <c r="F468" i="2"/>
  <c r="F609" i="2"/>
  <c r="F714" i="2"/>
  <c r="F377" i="2"/>
  <c r="F259" i="2"/>
  <c r="F173" i="2"/>
  <c r="F523" i="2"/>
  <c r="F189" i="2"/>
  <c r="F975" i="2"/>
  <c r="F254" i="2"/>
  <c r="F772" i="2"/>
  <c r="F926" i="2"/>
  <c r="F883" i="2"/>
  <c r="F131" i="2"/>
  <c r="F389" i="2"/>
  <c r="F511" i="2"/>
  <c r="F273" i="2"/>
  <c r="F540" i="2"/>
  <c r="F375" i="2"/>
  <c r="F395" i="2"/>
  <c r="F909" i="2"/>
  <c r="F196" i="2"/>
  <c r="F491" i="2"/>
  <c r="F91" i="2"/>
  <c r="F165" i="2"/>
  <c r="F886" i="2"/>
  <c r="F676" i="2"/>
  <c r="F462" i="2"/>
  <c r="F43" i="2"/>
  <c r="F337" i="2"/>
  <c r="F594" i="2"/>
  <c r="F430" i="2"/>
  <c r="F208" i="2"/>
  <c r="F192" i="2"/>
  <c r="F790" i="2"/>
  <c r="F947" i="2"/>
  <c r="F907" i="2"/>
  <c r="F660" i="2"/>
  <c r="F846" i="2"/>
  <c r="F56" i="2"/>
  <c r="F445" i="2"/>
  <c r="F715" i="2"/>
  <c r="F357" i="2"/>
  <c r="F929" i="2"/>
  <c r="F420" i="2"/>
  <c r="F21" i="2"/>
  <c r="F805" i="2"/>
  <c r="F696" i="2"/>
  <c r="F683" i="2"/>
  <c r="F454" i="2"/>
  <c r="F916" i="2"/>
  <c r="F688" i="2"/>
  <c r="F700" i="2"/>
  <c r="F819" i="2"/>
  <c r="F537" i="2"/>
  <c r="F799" i="2"/>
  <c r="F614" i="2"/>
  <c r="F266" i="2"/>
  <c r="F610" i="2"/>
  <c r="F978" i="2"/>
  <c r="F707" i="2"/>
  <c r="F447" i="2"/>
  <c r="F937" i="2"/>
  <c r="F654" i="2"/>
  <c r="F25" i="2"/>
  <c r="F79" i="2"/>
  <c r="F910" i="2"/>
  <c r="F870" i="2"/>
  <c r="F952" i="2"/>
  <c r="F988" i="2"/>
  <c r="F321" i="2"/>
  <c r="F408" i="2"/>
  <c r="F353" i="2"/>
  <c r="F638" i="2"/>
  <c r="F685" i="2"/>
  <c r="F829" i="2"/>
  <c r="F726" i="2"/>
  <c r="F618" i="2"/>
  <c r="F26" i="2"/>
  <c r="F401" i="2"/>
  <c r="F82" i="2"/>
  <c r="F359" i="2"/>
  <c r="F206" i="2"/>
  <c r="F801" i="2"/>
  <c r="F561" i="2"/>
  <c r="F871" i="2"/>
  <c r="F961" i="2"/>
  <c r="F515" i="2"/>
  <c r="F512" i="2"/>
  <c r="F972" i="2"/>
  <c r="F731" i="2"/>
  <c r="F538" i="2"/>
  <c r="F735" i="2"/>
  <c r="F481" i="2"/>
  <c r="F534" i="2"/>
  <c r="F879" i="2"/>
  <c r="F41" i="2"/>
  <c r="F793" i="2"/>
  <c r="F495" i="2"/>
  <c r="F925" i="2"/>
  <c r="F665" i="2"/>
  <c r="F967" i="2"/>
  <c r="F513" i="2"/>
  <c r="F65" i="2"/>
  <c r="F691" i="2"/>
  <c r="F260" i="2"/>
  <c r="F646" i="2"/>
  <c r="F876" i="2"/>
  <c r="F809" i="2"/>
  <c r="F417" i="2"/>
  <c r="F184" i="2"/>
  <c r="F591" i="2"/>
  <c r="F247" i="2"/>
  <c r="F641" i="2"/>
  <c r="F440" i="2"/>
  <c r="F740" i="2"/>
  <c r="F901" i="2"/>
  <c r="F99" i="2"/>
  <c r="F632" i="2"/>
  <c r="F95" i="2"/>
  <c r="F505" i="2"/>
  <c r="F861" i="2"/>
  <c r="F415" i="2"/>
  <c r="F294" i="2"/>
  <c r="F472" i="2"/>
  <c r="F973" i="2"/>
  <c r="F959" i="2"/>
  <c r="F974" i="2"/>
  <c r="F15" i="2"/>
  <c r="F183" i="2"/>
  <c r="F748" i="2"/>
  <c r="F725" i="2"/>
  <c r="F441" i="2"/>
  <c r="F159" i="2"/>
  <c r="F272" i="2"/>
  <c r="F190" i="2"/>
  <c r="F794" i="2"/>
  <c r="F970" i="2"/>
  <c r="F242" i="2"/>
  <c r="F800" i="2"/>
  <c r="F36" i="2"/>
  <c r="F727" i="2"/>
  <c r="F752" i="2"/>
  <c r="F225" i="2"/>
  <c r="F289" i="2"/>
  <c r="F603" i="2"/>
  <c r="F251" i="2"/>
  <c r="F649" i="2"/>
  <c r="F673" i="2"/>
  <c r="F494" i="2"/>
  <c r="F868" i="2"/>
  <c r="F812" i="2"/>
  <c r="F548" i="2"/>
  <c r="F795" i="2"/>
  <c r="F923" i="2"/>
  <c r="F662" i="2"/>
  <c r="F541" i="2"/>
  <c r="F42" i="2"/>
  <c r="F849" i="2"/>
  <c r="F827" i="2"/>
  <c r="F628" i="2"/>
  <c r="F460" i="2"/>
  <c r="F881" i="2"/>
  <c r="F215" i="2"/>
  <c r="F243" i="2"/>
  <c r="F380" i="2"/>
  <c r="F596" i="2"/>
  <c r="F642" i="2"/>
  <c r="F900" i="2"/>
  <c r="F402" i="2"/>
  <c r="F489" i="2"/>
  <c r="F210" i="2"/>
  <c r="F778" i="2"/>
  <c r="F657" i="2"/>
  <c r="F226" i="2"/>
  <c r="F145" i="2"/>
  <c r="F527" i="2"/>
  <c r="F977" i="2"/>
  <c r="F2" i="2"/>
  <c r="F393" i="2"/>
  <c r="F664" i="2"/>
  <c r="F434" i="2"/>
  <c r="F877" i="2"/>
  <c r="F818" i="2"/>
  <c r="F781" i="2"/>
  <c r="F831" i="2"/>
  <c r="F32" i="2"/>
  <c r="F479" i="2"/>
  <c r="F209" i="2"/>
  <c r="F644" i="2"/>
  <c r="F175" i="2"/>
  <c r="F858" i="2"/>
  <c r="F358" i="2"/>
  <c r="F124" i="2"/>
  <c r="F575" i="2"/>
  <c r="F526" i="2"/>
  <c r="F773" i="2"/>
  <c r="F716" i="2"/>
  <c r="F280" i="2"/>
  <c r="F701" i="2"/>
  <c r="F830" i="2"/>
  <c r="F944" i="2"/>
  <c r="F650" i="2"/>
  <c r="F950" i="2"/>
  <c r="F803" i="2"/>
  <c r="F613" i="2"/>
  <c r="F694" i="2"/>
  <c r="F940" i="2"/>
  <c r="F917" i="2"/>
  <c r="F317" i="2"/>
  <c r="F939" i="2"/>
  <c r="F496" i="2"/>
  <c r="F864" i="2"/>
  <c r="F602" i="2"/>
  <c r="F425" i="2"/>
  <c r="F302" i="2"/>
  <c r="F943" i="2"/>
  <c r="F941" i="2"/>
  <c r="F185" i="2"/>
  <c r="F443" i="2"/>
  <c r="F18" i="2"/>
  <c r="F824" i="2"/>
  <c r="F635" i="2"/>
  <c r="F990" i="2"/>
  <c r="F892" i="2"/>
  <c r="F931" i="2"/>
  <c r="F651" i="2"/>
  <c r="F427" i="2"/>
  <c r="F439" i="2"/>
  <c r="F590" i="2"/>
  <c r="F563" i="2"/>
  <c r="F448" i="2"/>
  <c r="F438" i="2"/>
  <c r="F675" i="2"/>
  <c r="F502" i="2"/>
  <c r="F88" i="2"/>
  <c r="F980" i="2"/>
  <c r="F804" i="2"/>
  <c r="F121" i="2"/>
  <c r="F878" i="2"/>
  <c r="F410" i="2"/>
  <c r="F633" i="2"/>
  <c r="F257" i="2"/>
  <c r="F964" i="2"/>
  <c r="F248" i="2"/>
  <c r="F949" i="2"/>
  <c r="F39" i="2"/>
  <c r="F777" i="2"/>
  <c r="F605" i="2"/>
  <c r="F58" i="2"/>
  <c r="F542" i="2"/>
  <c r="F690" i="2"/>
  <c r="F699" i="2"/>
  <c r="F364" i="2"/>
  <c r="F738" i="2"/>
  <c r="F721" i="2"/>
  <c r="F161" i="2"/>
  <c r="F956" i="2"/>
  <c r="F453" i="2"/>
  <c r="F431" i="2"/>
  <c r="F859" i="2"/>
  <c r="F924" i="2"/>
  <c r="F713" i="2"/>
  <c r="B294" i="2"/>
  <c r="B606" i="2"/>
  <c r="B929" i="2"/>
  <c r="B188" i="2"/>
  <c r="B719" i="2"/>
  <c r="B526" i="2"/>
  <c r="B952" i="2"/>
  <c r="B116" i="2"/>
  <c r="B960" i="2"/>
  <c r="B911" i="2"/>
  <c r="B975" i="2"/>
  <c r="B983" i="2"/>
  <c r="B750" i="2"/>
  <c r="B650" i="2"/>
  <c r="B702" i="2"/>
  <c r="B766" i="2"/>
  <c r="B885" i="2"/>
  <c r="B665" i="2"/>
  <c r="B989" i="2"/>
  <c r="B779" i="2"/>
  <c r="B735" i="2"/>
  <c r="B880" i="2"/>
  <c r="B984" i="2"/>
  <c r="B666" i="2"/>
  <c r="B995" i="2"/>
  <c r="B414" i="2"/>
  <c r="B410" i="2"/>
  <c r="B982" i="2"/>
  <c r="B959" i="2"/>
  <c r="B442" i="2"/>
  <c r="B130" i="2"/>
  <c r="B510" i="2"/>
  <c r="B920" i="2"/>
  <c r="B783" i="2"/>
  <c r="B38" i="2"/>
  <c r="B821" i="2"/>
  <c r="B902" i="2"/>
  <c r="B787" i="2"/>
  <c r="B951" i="2"/>
  <c r="B771" i="2"/>
  <c r="B307" i="2"/>
  <c r="B832" i="2"/>
  <c r="B950" i="2"/>
  <c r="B622" i="2"/>
  <c r="B1000" i="2"/>
  <c r="B934" i="2"/>
  <c r="B658" i="2"/>
  <c r="B806" i="2"/>
  <c r="B710" i="2"/>
  <c r="B711" i="2"/>
  <c r="B998" i="2"/>
  <c r="B968" i="2"/>
  <c r="B122" i="2"/>
  <c r="B433" i="2"/>
  <c r="B494" i="2"/>
  <c r="B121" i="2"/>
  <c r="B474" i="2"/>
  <c r="B637" i="2"/>
  <c r="B916" i="2"/>
  <c r="B756" i="2"/>
  <c r="B862" i="2"/>
  <c r="B943" i="2"/>
  <c r="B955" i="2"/>
  <c r="B972" i="2"/>
  <c r="B990" i="2"/>
  <c r="B138" i="2"/>
  <c r="B941" i="2"/>
  <c r="B1001" i="2"/>
  <c r="B726" i="2"/>
  <c r="B849" i="2"/>
  <c r="B981" i="2"/>
  <c r="B77" i="2"/>
  <c r="B448" i="2"/>
  <c r="B296" i="2"/>
  <c r="B344" i="2"/>
  <c r="B487" i="2"/>
  <c r="B70" i="2"/>
  <c r="B843" i="2"/>
  <c r="B736" i="2"/>
  <c r="B591" i="2"/>
  <c r="B309" i="2"/>
  <c r="B29" i="2"/>
  <c r="B374" i="2"/>
  <c r="B565" i="2"/>
  <c r="B368" i="2"/>
  <c r="B500" i="2"/>
  <c r="B781" i="2"/>
  <c r="B604" i="2"/>
  <c r="B425" i="2"/>
  <c r="B71" i="2"/>
  <c r="B534" i="2"/>
  <c r="B638" i="2"/>
  <c r="B92" i="2"/>
  <c r="B257" i="2"/>
  <c r="B94" i="2"/>
  <c r="B485" i="2"/>
  <c r="B276" i="2"/>
  <c r="B225" i="2"/>
  <c r="B860" i="2"/>
  <c r="B562" i="2"/>
  <c r="B20" i="2"/>
  <c r="B359" i="2"/>
  <c r="B59" i="2"/>
  <c r="B592" i="2"/>
  <c r="B857" i="2"/>
  <c r="B234" i="2"/>
  <c r="B95" i="2"/>
  <c r="B851" i="2"/>
  <c r="B683" i="2"/>
  <c r="B688" i="2"/>
  <c r="B883" i="2"/>
  <c r="B143" i="2"/>
  <c r="B322" i="2"/>
  <c r="B715" i="2"/>
  <c r="B277" i="2"/>
  <c r="B129" i="2"/>
  <c r="B753" i="2"/>
  <c r="B366" i="2"/>
  <c r="B463" i="2"/>
  <c r="B228" i="2"/>
  <c r="B575" i="2"/>
  <c r="B443" i="2"/>
  <c r="B379" i="2"/>
  <c r="B160" i="2"/>
  <c r="B386" i="2"/>
  <c r="B749" i="2"/>
  <c r="B900" i="2"/>
  <c r="B321" i="2"/>
  <c r="B240" i="2"/>
  <c r="B462" i="2"/>
  <c r="B897" i="2"/>
  <c r="B75" i="2"/>
  <c r="B811" i="2"/>
  <c r="B649" i="2"/>
  <c r="B114" i="2"/>
  <c r="B525" i="2"/>
  <c r="B279" i="2"/>
  <c r="B73" i="2"/>
  <c r="B101" i="2"/>
  <c r="B43" i="2"/>
  <c r="B451" i="2"/>
  <c r="B37" i="2"/>
  <c r="B197" i="2"/>
  <c r="B275" i="2"/>
  <c r="B639" i="2"/>
  <c r="B184" i="2"/>
  <c r="B107" i="2"/>
  <c r="B937" i="2"/>
  <c r="B970" i="2"/>
  <c r="B850" i="2"/>
  <c r="B256" i="2"/>
  <c r="B401" i="2"/>
  <c r="B495" i="2"/>
  <c r="B628" i="2"/>
  <c r="B293" i="2"/>
  <c r="B964" i="2"/>
  <c r="B223" i="2"/>
  <c r="B874" i="2"/>
  <c r="B538" i="2"/>
  <c r="B330" i="2"/>
  <c r="B465" i="2"/>
  <c r="B165" i="2"/>
  <c r="B182" i="2"/>
  <c r="B264" i="2"/>
  <c r="B198" i="2"/>
  <c r="B509" i="2"/>
  <c r="B508" i="2"/>
  <c r="B881" i="2"/>
  <c r="B594" i="2"/>
  <c r="B331" i="2"/>
  <c r="B272" i="2"/>
  <c r="B199" i="2"/>
  <c r="B748" i="2"/>
  <c r="B90" i="2"/>
  <c r="B740" i="2"/>
  <c r="B733" i="2"/>
  <c r="B378" i="2"/>
  <c r="B217" i="2"/>
  <c r="B724" i="2"/>
  <c r="B762" i="2"/>
  <c r="B335" i="2"/>
  <c r="B362" i="2"/>
  <c r="B399" i="2"/>
  <c r="B380" i="2"/>
  <c r="B207" i="2"/>
  <c r="B549" i="2"/>
  <c r="B458" i="2"/>
  <c r="B765" i="2"/>
  <c r="B772" i="2"/>
  <c r="B671" i="2"/>
  <c r="B141" i="2"/>
  <c r="B778" i="2"/>
  <c r="B996" i="2"/>
  <c r="B627" i="2"/>
  <c r="B524" i="2"/>
  <c r="B187" i="2"/>
  <c r="B334" i="2"/>
  <c r="B117" i="2"/>
  <c r="B229" i="2"/>
  <c r="B655" i="2"/>
  <c r="B555" i="2"/>
  <c r="B841" i="2"/>
  <c r="B384" i="2"/>
  <c r="B93" i="2"/>
  <c r="B838" i="2"/>
  <c r="B28" i="2"/>
  <c r="B224" i="2"/>
  <c r="B801" i="2"/>
  <c r="B527" i="2"/>
  <c r="B597" i="2"/>
  <c r="B864" i="2"/>
  <c r="B731" i="2"/>
  <c r="B126" i="2"/>
  <c r="B269" i="2"/>
  <c r="B825" i="2"/>
  <c r="B196" i="2"/>
  <c r="B372" i="2"/>
  <c r="B416" i="2"/>
  <c r="B213" i="2"/>
  <c r="B634" i="2"/>
  <c r="B105" i="2"/>
  <c r="B148" i="2"/>
  <c r="B633" i="2"/>
  <c r="B347" i="2"/>
  <c r="B539" i="2"/>
  <c r="B608" i="2"/>
  <c r="B473" i="2"/>
  <c r="B531" i="2"/>
  <c r="B209" i="2"/>
  <c r="B599" i="2"/>
  <c r="B412" i="2"/>
  <c r="B685" i="2"/>
  <c r="B299" i="2"/>
  <c r="B684" i="2"/>
  <c r="B595" i="2"/>
  <c r="B906" i="2"/>
  <c r="B875" i="2"/>
  <c r="B923" i="2"/>
  <c r="B725" i="2"/>
  <c r="B124" i="2"/>
  <c r="B615" i="2"/>
  <c r="B394" i="2"/>
  <c r="B164" i="2"/>
  <c r="B537" i="2"/>
  <c r="B845" i="2"/>
  <c r="B520" i="2"/>
  <c r="B922" i="2"/>
  <c r="B232" i="2"/>
  <c r="B672" i="2"/>
  <c r="B631" i="2"/>
  <c r="B74" i="2"/>
  <c r="B892" i="2"/>
  <c r="B413" i="2"/>
  <c r="B802" i="2"/>
  <c r="B253" i="2"/>
  <c r="B339" i="2"/>
  <c r="B303" i="2"/>
  <c r="B567" i="2"/>
  <c r="B194" i="2"/>
  <c r="B582" i="2"/>
  <c r="B149" i="2"/>
  <c r="B621" i="2"/>
  <c r="B682" i="2"/>
  <c r="B581" i="2"/>
  <c r="B709" i="2"/>
  <c r="B179" i="2"/>
  <c r="B553" i="2"/>
  <c r="B560" i="2"/>
  <c r="B564" i="2"/>
  <c r="B614" i="2"/>
  <c r="B415" i="2"/>
  <c r="B588" i="2"/>
  <c r="B218" i="2"/>
  <c r="B364" i="2"/>
  <c r="B291" i="2"/>
  <c r="B939" i="2"/>
  <c r="B833" i="2"/>
  <c r="B438" i="2"/>
  <c r="B652" i="2"/>
  <c r="B145" i="2"/>
  <c r="B286" i="2"/>
  <c r="B284" i="2"/>
  <c r="B985" i="2"/>
  <c r="B288" i="2"/>
  <c r="B488" i="2"/>
  <c r="B456" i="2"/>
  <c r="B459" i="2"/>
  <c r="B745" i="2"/>
  <c r="B426" i="2"/>
  <c r="B346" i="2"/>
  <c r="B921" i="2"/>
  <c r="B654" i="2"/>
  <c r="B16" i="2"/>
  <c r="B428" i="2"/>
  <c r="B948" i="2"/>
  <c r="B206" i="2"/>
  <c r="B163" i="2"/>
  <c r="B763" i="2"/>
  <c r="B648" i="2"/>
  <c r="B162" i="2"/>
  <c r="B260" i="2"/>
  <c r="B777" i="2"/>
  <c r="B764" i="2"/>
  <c r="B214" i="2"/>
  <c r="B723" i="2"/>
  <c r="B829" i="2"/>
  <c r="B373" i="2"/>
  <c r="B80" i="2"/>
  <c r="B248" i="2"/>
  <c r="B865" i="2"/>
  <c r="B302" i="2"/>
  <c r="B430" i="2"/>
  <c r="B169" i="2"/>
  <c r="B365" i="2"/>
  <c r="B826" i="2"/>
  <c r="B521" i="2"/>
  <c r="B506" i="2"/>
  <c r="B371" i="2"/>
  <c r="B444" i="2"/>
  <c r="B136" i="2"/>
  <c r="B244" i="2"/>
  <c r="B450" i="2"/>
  <c r="B308" i="2"/>
  <c r="B27" i="2"/>
  <c r="B477" i="2"/>
  <c r="B760" i="2"/>
  <c r="B705" i="2"/>
  <c r="B890" i="2"/>
  <c r="B243" i="2"/>
  <c r="B102" i="2"/>
  <c r="B292" i="2"/>
  <c r="B289" i="2"/>
  <c r="B596" i="2"/>
  <c r="B556" i="2"/>
  <c r="B361" i="2"/>
  <c r="B137" i="2"/>
  <c r="B930" i="2"/>
  <c r="B337" i="2"/>
  <c r="B931" i="2"/>
  <c r="B891" i="2"/>
  <c r="B351" i="2"/>
  <c r="B576" i="2"/>
  <c r="B522" i="2"/>
  <c r="B273" i="2"/>
  <c r="B662" i="2"/>
  <c r="B316" i="2"/>
  <c r="B476" i="2"/>
  <c r="B147" i="2"/>
  <c r="B118" i="2"/>
  <c r="B755" i="2"/>
  <c r="B472" i="2"/>
  <c r="B423" i="2"/>
  <c r="B515" i="2"/>
  <c r="B392" i="2"/>
  <c r="B445" i="2"/>
  <c r="B987" i="2"/>
  <c r="B395" i="2"/>
  <c r="B397" i="2"/>
  <c r="B421" i="2"/>
  <c r="B110" i="2"/>
  <c r="B377" i="2"/>
  <c r="B315" i="2"/>
  <c r="B632" i="2"/>
  <c r="B111" i="2"/>
  <c r="B484" i="2"/>
  <c r="B491" i="2"/>
  <c r="B185" i="2"/>
  <c r="B471" i="2"/>
  <c r="B210" i="2"/>
  <c r="B376" i="2"/>
  <c r="B119" i="2"/>
  <c r="B69" i="2"/>
  <c r="B96" i="2"/>
  <c r="B255" i="2"/>
  <c r="B752" i="2"/>
  <c r="B278" i="2"/>
  <c r="B770" i="2"/>
  <c r="B784" i="2"/>
  <c r="B47" i="2"/>
  <c r="B600" i="2"/>
  <c r="B404" i="2"/>
  <c r="B563" i="2"/>
  <c r="B541" i="2"/>
  <c r="B511" i="2"/>
  <c r="B769" i="2"/>
  <c r="B342" i="2"/>
  <c r="B246" i="2"/>
  <c r="B530" i="2"/>
  <c r="B168" i="2"/>
  <c r="B301" i="2"/>
  <c r="B533" i="2"/>
  <c r="B896" i="2"/>
  <c r="B700" i="2"/>
  <c r="B150" i="2"/>
  <c r="B586" i="2"/>
  <c r="B617" i="2"/>
  <c r="B573" i="2"/>
  <c r="B483" i="2"/>
  <c r="B300" i="2"/>
  <c r="B285" i="2"/>
  <c r="B406" i="2"/>
  <c r="B536" i="2"/>
  <c r="B230" i="2"/>
  <c r="B701" i="2"/>
  <c r="B613" i="2"/>
  <c r="B298" i="2"/>
  <c r="B139" i="2"/>
  <c r="B33" i="2"/>
  <c r="B250" i="2"/>
  <c r="B532" i="2"/>
  <c r="B56" i="2"/>
  <c r="B154" i="2"/>
  <c r="B554" i="2"/>
  <c r="B805" i="2"/>
  <c r="B310" i="2"/>
  <c r="B81" i="2"/>
  <c r="B26" i="2"/>
  <c r="B183" i="2"/>
  <c r="B449" i="2"/>
  <c r="B4" i="2"/>
  <c r="B192" i="2"/>
  <c r="B479" i="2"/>
  <c r="B180" i="2"/>
  <c r="B571" i="2"/>
  <c r="B78" i="2"/>
  <c r="B40" i="2"/>
  <c r="B68" i="2"/>
  <c r="B22" i="2"/>
  <c r="B441" i="2"/>
  <c r="B580" i="2"/>
  <c r="B589" i="2"/>
  <c r="B242" i="2"/>
  <c r="B698" i="2"/>
  <c r="B76" i="2"/>
  <c r="B99" i="2"/>
  <c r="B664" i="2"/>
  <c r="B263" i="2"/>
  <c r="B398" i="2"/>
  <c r="B146" i="2"/>
  <c r="B643" i="2"/>
  <c r="B113" i="2"/>
  <c r="B490" i="2"/>
  <c r="B432" i="2"/>
  <c r="B616" i="2"/>
  <c r="B859" i="2"/>
  <c r="B370" i="2"/>
  <c r="B97" i="2"/>
  <c r="B670" i="2"/>
  <c r="B25" i="2"/>
  <c r="B35" i="2"/>
  <c r="B48" i="2"/>
  <c r="B42" i="2"/>
  <c r="B367" i="2"/>
  <c r="B155" i="2"/>
  <c r="B62" i="2"/>
  <c r="B403" i="2"/>
  <c r="B201" i="2"/>
  <c r="B692" i="2"/>
  <c r="B486" i="2"/>
  <c r="B578" i="2"/>
  <c r="B610" i="2"/>
  <c r="B435" i="2"/>
  <c r="B947" i="2"/>
  <c r="B317" i="2"/>
  <c r="B659" i="2"/>
  <c r="B280" i="2"/>
  <c r="B932" i="2"/>
  <c r="B660" i="2"/>
  <c r="B469" i="2"/>
  <c r="B312" i="2"/>
  <c r="B492" i="2"/>
  <c r="B602" i="2"/>
  <c r="B514" i="2"/>
  <c r="B369" i="2"/>
  <c r="B104" i="2"/>
  <c r="B971" i="2"/>
  <c r="B411" i="2"/>
  <c r="B258" i="2"/>
  <c r="B3" i="2"/>
  <c r="B512" i="2"/>
  <c r="B98" i="2"/>
  <c r="B320" i="2"/>
  <c r="B363" i="2"/>
  <c r="B55" i="2"/>
  <c r="B587" i="2"/>
  <c r="B585" i="2"/>
  <c r="B17" i="2"/>
  <c r="B49" i="2"/>
  <c r="B215" i="2"/>
  <c r="B618" i="2"/>
  <c r="B345" i="2"/>
  <c r="B383" i="2"/>
  <c r="B707" i="2"/>
  <c r="B856" i="2"/>
  <c r="B311" i="2"/>
  <c r="B153" i="2"/>
  <c r="B786" i="2"/>
  <c r="B708" i="2"/>
  <c r="B327" i="2"/>
  <c r="B461" i="2"/>
  <c r="B123" i="2"/>
  <c r="B125" i="2"/>
  <c r="B53" i="2"/>
  <c r="B915" i="2"/>
  <c r="B281" i="2"/>
  <c r="B820" i="2"/>
  <c r="B21" i="2"/>
  <c r="B713" i="2"/>
  <c r="B128" i="2"/>
  <c r="B419" i="2"/>
  <c r="B100" i="2"/>
  <c r="B605" i="2"/>
  <c r="B747" i="2"/>
  <c r="B79" i="2"/>
  <c r="B89" i="2"/>
  <c r="B314" i="2"/>
  <c r="B173" i="2"/>
  <c r="B177" i="2"/>
  <c r="B689" i="2"/>
  <c r="B547" i="2"/>
  <c r="B795" i="2"/>
  <c r="B730" i="2"/>
  <c r="B635" i="2"/>
  <c r="B873" i="2"/>
  <c r="B304" i="2"/>
  <c r="B88" i="2"/>
  <c r="B356" i="2"/>
  <c r="B674" i="2"/>
  <c r="B809" i="2"/>
  <c r="B50" i="2"/>
  <c r="B231" i="2"/>
  <c r="B6" i="2"/>
  <c r="B552" i="2"/>
  <c r="B36" i="2"/>
  <c r="B191" i="2"/>
  <c r="B776" i="2"/>
  <c r="B167" i="2"/>
  <c r="B620" i="2"/>
  <c r="B9" i="2"/>
  <c r="B175" i="2"/>
  <c r="B44" i="2"/>
  <c r="B261" i="2"/>
  <c r="B103" i="2"/>
  <c r="B611" i="2"/>
  <c r="B60" i="2"/>
  <c r="B504" i="2"/>
  <c r="B644" i="2"/>
  <c r="B400" i="2"/>
  <c r="B439" i="2"/>
  <c r="B693" i="2"/>
  <c r="B882" i="2"/>
  <c r="B732" i="2"/>
  <c r="B319" i="2"/>
  <c r="B447" i="2"/>
  <c r="B675" i="2"/>
  <c r="B109" i="2"/>
  <c r="B630" i="2"/>
  <c r="B908" i="2"/>
  <c r="B523" i="2"/>
  <c r="B696" i="2"/>
  <c r="B133" i="2"/>
  <c r="B45" i="2"/>
  <c r="B396" i="2"/>
  <c r="B717" i="2"/>
  <c r="B132" i="2"/>
  <c r="B186" i="2"/>
  <c r="B23" i="2"/>
  <c r="B2" i="2"/>
  <c r="B353" i="2"/>
  <c r="B754" i="2"/>
  <c r="B607" i="2"/>
  <c r="B252" i="2"/>
  <c r="B91" i="2"/>
  <c r="B876" i="2"/>
  <c r="B420" i="2"/>
  <c r="B408" i="2"/>
  <c r="B385" i="2"/>
  <c r="B761" i="2"/>
  <c r="B203" i="2"/>
  <c r="B496" i="2"/>
  <c r="B835" i="2"/>
  <c r="B216" i="2"/>
  <c r="B656" i="2"/>
  <c r="B329" i="2"/>
  <c r="B336" i="2"/>
  <c r="B690" i="2"/>
  <c r="B667" i="2"/>
  <c r="B46" i="2"/>
  <c r="B274" i="2"/>
  <c r="B907" i="2"/>
  <c r="B502" i="2"/>
  <c r="B789" i="2"/>
  <c r="B241" i="2"/>
  <c r="B18" i="2"/>
  <c r="B236" i="2"/>
  <c r="B297" i="2"/>
  <c r="B642" i="2"/>
  <c r="B641" i="2"/>
  <c r="B64" i="2"/>
  <c r="B202" i="2"/>
  <c r="B797" i="2"/>
  <c r="B219" i="2"/>
  <c r="B716" i="2"/>
  <c r="B572" i="2"/>
  <c r="B174" i="2"/>
  <c r="B226" i="2"/>
  <c r="B828" i="2"/>
  <c r="B568" i="2"/>
  <c r="B800" i="2"/>
  <c r="B208" i="2"/>
  <c r="B853" i="2"/>
  <c r="B14" i="2"/>
  <c r="B535" i="2"/>
  <c r="B481" i="2"/>
  <c r="B852" i="2"/>
  <c r="B325" i="2"/>
  <c r="B858" i="2"/>
  <c r="B803" i="2"/>
  <c r="B738" i="2"/>
  <c r="B813" i="2"/>
  <c r="B354" i="2"/>
  <c r="B247" i="2"/>
  <c r="B239" i="2"/>
  <c r="B382" i="2"/>
  <c r="B389" i="2"/>
  <c r="B837" i="2"/>
  <c r="B24" i="2"/>
  <c r="B645" i="2"/>
  <c r="B793" i="2"/>
  <c r="B528" i="2"/>
  <c r="B544" i="2"/>
  <c r="B827" i="2"/>
  <c r="B739" i="2"/>
  <c r="B623" i="2"/>
  <c r="B13" i="2"/>
  <c r="B54" i="2"/>
  <c r="B551" i="2"/>
  <c r="B259" i="2"/>
  <c r="B844" i="2"/>
  <c r="B548" i="2"/>
  <c r="B393" i="2"/>
  <c r="B266" i="2"/>
  <c r="B63" i="2"/>
  <c r="B195" i="2"/>
  <c r="B159" i="2"/>
  <c r="B516" i="2"/>
  <c r="B52" i="2"/>
  <c r="B7" i="2"/>
  <c r="B816" i="2"/>
  <c r="B251" i="2"/>
  <c r="B569" i="2"/>
  <c r="B249" i="2"/>
  <c r="B437" i="2"/>
  <c r="B31" i="2"/>
  <c r="B877" i="2"/>
  <c r="B839" i="2"/>
  <c r="B742" i="2"/>
  <c r="B722" i="2"/>
  <c r="B870" i="2"/>
  <c r="B976" i="2"/>
  <c r="B909" i="2"/>
  <c r="B144" i="2"/>
  <c r="B759" i="2"/>
  <c r="B332" i="2"/>
  <c r="B819" i="2"/>
  <c r="B942" i="2"/>
  <c r="B678" i="2"/>
  <c r="B402" i="2"/>
  <c r="B899" i="2"/>
  <c r="B313" i="2"/>
  <c r="B888" i="2"/>
  <c r="B233" i="2"/>
  <c r="B734" i="2"/>
  <c r="B992" i="2"/>
  <c r="B375" i="2"/>
  <c r="B872" i="2"/>
  <c r="B609" i="2"/>
  <c r="B625" i="2"/>
  <c r="B58" i="2"/>
  <c r="B823" i="2"/>
  <c r="B152" i="2"/>
  <c r="B969" i="2"/>
  <c r="B653" i="2"/>
  <c r="B895" i="2"/>
  <c r="B686" i="2"/>
  <c r="B910" i="2"/>
  <c r="B579" i="2"/>
  <c r="B434" i="2"/>
  <c r="B190" i="2"/>
  <c r="B237" i="2"/>
  <c r="B626" i="2"/>
  <c r="B936" i="2"/>
  <c r="B830" i="2"/>
  <c r="B32" i="2"/>
  <c r="B513" i="2"/>
  <c r="B974" i="2"/>
  <c r="B489" i="2"/>
  <c r="B176" i="2"/>
  <c r="B903" i="2"/>
  <c r="B718" i="2"/>
  <c r="B470" i="2"/>
  <c r="B699" i="2"/>
  <c r="B790" i="2"/>
  <c r="B87" i="2"/>
  <c r="B728" i="2"/>
  <c r="B212" i="2"/>
  <c r="B584" i="2"/>
  <c r="B767" i="2"/>
  <c r="B815" i="2"/>
  <c r="B924" i="2"/>
  <c r="B440" i="2"/>
  <c r="B703" i="2"/>
  <c r="B822" i="2"/>
  <c r="B804" i="2"/>
  <c r="B205" i="2"/>
  <c r="B863" i="2"/>
  <c r="B19" i="2"/>
  <c r="B791" i="2"/>
  <c r="B51" i="2"/>
  <c r="B478" i="2"/>
  <c r="B518" i="2"/>
  <c r="B807" i="2"/>
  <c r="B879" i="2"/>
  <c r="B904" i="2"/>
  <c r="B120" i="2"/>
  <c r="B775" i="2"/>
  <c r="B704" i="2"/>
  <c r="B519" i="2"/>
  <c r="B768" i="2"/>
  <c r="B898" i="2"/>
  <c r="B988" i="2"/>
  <c r="B67" i="2"/>
  <c r="B466" i="2"/>
  <c r="B913" i="2"/>
  <c r="B798" i="2"/>
  <c r="B454" i="2"/>
  <c r="B840" i="2"/>
  <c r="B946" i="2"/>
  <c r="B878" i="2"/>
  <c r="B5" i="2"/>
  <c r="B918" i="2"/>
  <c r="B817" i="2"/>
  <c r="B156" i="2"/>
  <c r="B629" i="2"/>
  <c r="B166" i="2"/>
  <c r="B106" i="2"/>
  <c r="B545" i="2"/>
  <c r="B493" i="2"/>
  <c r="B348" i="2"/>
  <c r="B999" i="2"/>
  <c r="B935" i="2"/>
  <c r="B980" i="2"/>
  <c r="B694" i="2"/>
  <c r="B457" i="2"/>
  <c r="B854" i="2"/>
  <c r="B780" i="2"/>
  <c r="B424" i="2"/>
  <c r="B774" i="2"/>
  <c r="B869" i="2"/>
  <c r="B431" i="2"/>
  <c r="B669" i="2"/>
  <c r="B352" i="2"/>
  <c r="B901" i="2"/>
  <c r="B926" i="2"/>
  <c r="B636" i="2"/>
  <c r="B834" i="2"/>
  <c r="B157" i="2"/>
  <c r="B691" i="2"/>
  <c r="B785" i="2"/>
  <c r="B262" i="2"/>
  <c r="B108" i="2"/>
  <c r="B640" i="2"/>
  <c r="B647" i="2"/>
  <c r="B227" i="2"/>
  <c r="B499" i="2"/>
  <c r="B543" i="2"/>
  <c r="B343" i="2"/>
  <c r="B559" i="2"/>
  <c r="B497" i="2"/>
  <c r="B824" i="2"/>
  <c r="B737" i="2"/>
  <c r="B498" i="2"/>
  <c r="B720" i="2"/>
  <c r="B893" i="2"/>
  <c r="B925" i="2"/>
  <c r="B966" i="2"/>
  <c r="B673" i="2"/>
  <c r="B914" i="2"/>
  <c r="B917" i="2"/>
  <c r="B507" i="2"/>
  <c r="B721" i="2"/>
  <c r="B271" i="2"/>
  <c r="B949" i="2"/>
  <c r="B741" i="2"/>
  <c r="B855" i="2"/>
  <c r="B714" i="2"/>
  <c r="B965" i="2"/>
  <c r="B727" i="2"/>
  <c r="B72" i="2"/>
  <c r="B570" i="2"/>
  <c r="B290" i="2"/>
  <c r="B577" i="2"/>
  <c r="B712" i="2"/>
  <c r="B743" i="2"/>
  <c r="B270" i="2"/>
  <c r="B529" i="2"/>
  <c r="B318" i="2"/>
  <c r="B405" i="2"/>
  <c r="B388" i="2"/>
  <c r="B211" i="2"/>
  <c r="B657" i="2"/>
  <c r="B115" i="2"/>
  <c r="B919" i="2"/>
  <c r="B407" i="2"/>
  <c r="B283" i="2"/>
  <c r="B846" i="2"/>
  <c r="B977" i="2"/>
  <c r="B306" i="2"/>
  <c r="B706" i="2"/>
  <c r="B574" i="2"/>
  <c r="R9" i="2"/>
  <c r="B390" i="2" l="1"/>
  <c r="F126" i="2"/>
  <c r="F759" i="2"/>
  <c r="F9" i="2"/>
  <c r="F151" i="2"/>
  <c r="F767" i="2"/>
  <c r="F77" i="2"/>
  <c r="F821" i="2"/>
  <c r="F236" i="2"/>
  <c r="F565" i="2"/>
  <c r="F316" i="2"/>
  <c r="F509" i="2"/>
  <c r="F160" i="2"/>
  <c r="F840" i="2"/>
  <c r="F373" i="2"/>
  <c r="F341" i="2"/>
  <c r="F838" i="2"/>
  <c r="F245" i="2"/>
  <c r="F986" i="2"/>
  <c r="F698" i="2"/>
  <c r="F23" i="2"/>
  <c r="F471" i="2"/>
  <c r="F167" i="2"/>
  <c r="F807" i="2"/>
  <c r="F746" i="2"/>
  <c r="F674" i="2"/>
  <c r="F285" i="2"/>
  <c r="F437" i="2"/>
  <c r="F705" i="2"/>
  <c r="F995" i="2"/>
  <c r="F231" i="2"/>
  <c r="F182" i="2"/>
  <c r="B928" i="2"/>
  <c r="B82" i="2"/>
  <c r="B958" i="2"/>
  <c r="B328" i="2"/>
  <c r="B57" i="2"/>
  <c r="B884" i="2"/>
  <c r="B170" i="2"/>
  <c r="B452" i="2"/>
  <c r="B134" i="2"/>
  <c r="B886" i="2"/>
  <c r="B8" i="2"/>
  <c r="B295" i="2"/>
  <c r="B945" i="2"/>
  <c r="B455" i="2"/>
  <c r="B619" i="2"/>
  <c r="B938" i="2"/>
  <c r="B151" i="2"/>
  <c r="B603" i="2"/>
  <c r="B204" i="2"/>
  <c r="B676" i="2"/>
  <c r="B501" i="2"/>
  <c r="B387" i="2"/>
  <c r="B142" i="2"/>
  <c r="B475" i="2"/>
  <c r="B561" i="2"/>
  <c r="B254" i="2"/>
  <c r="B993" i="2"/>
  <c r="B978" i="2"/>
  <c r="B391" i="2"/>
  <c r="B349" i="2"/>
  <c r="B994" i="2"/>
  <c r="B651" i="2"/>
  <c r="B417" i="2"/>
  <c r="B517" i="2"/>
  <c r="B746" i="2"/>
  <c r="B453" i="2"/>
  <c r="B540" i="2"/>
  <c r="B340" i="2"/>
  <c r="B940" i="2"/>
  <c r="B140" i="2"/>
  <c r="B788" i="2"/>
  <c r="B905" i="2"/>
  <c r="B61" i="2"/>
  <c r="B467" i="2"/>
  <c r="B112" i="2"/>
  <c r="B956" i="2"/>
  <c r="B590" i="2"/>
  <c r="B887" i="2"/>
  <c r="B677" i="2"/>
  <c r="B558" i="2"/>
  <c r="B66" i="2"/>
  <c r="B612" i="2"/>
  <c r="B158" i="2"/>
  <c r="B871" i="2"/>
  <c r="N2" i="2"/>
  <c r="L3" i="2"/>
  <c r="M3" i="2" s="1"/>
  <c r="A729" i="2" l="1"/>
  <c r="A979" i="2"/>
  <c r="A953" i="2"/>
  <c r="A758" i="2"/>
  <c r="A672" i="2"/>
  <c r="A222" i="2"/>
  <c r="A350" i="2"/>
  <c r="A997" i="2"/>
  <c r="A238" i="2"/>
  <c r="A231" i="2"/>
  <c r="A868" i="2"/>
  <c r="A418" i="2"/>
  <c r="A963" i="2"/>
  <c r="A429" i="2"/>
  <c r="A986" i="2"/>
  <c r="A646" i="2"/>
  <c r="A957" i="2"/>
  <c r="A171" i="2"/>
  <c r="A189" i="2"/>
  <c r="A962" i="2"/>
  <c r="A65" i="2"/>
  <c r="A836" i="2"/>
  <c r="L4" i="2"/>
  <c r="M4" i="2" s="1"/>
  <c r="N3" i="2"/>
  <c r="A991" i="2" s="1"/>
  <c r="A842" i="2" l="1"/>
  <c r="A258" i="2"/>
  <c r="A105" i="2"/>
  <c r="A233" i="2"/>
  <c r="A12" i="2"/>
  <c r="A744" i="2"/>
  <c r="A967" i="2"/>
  <c r="A681" i="2"/>
  <c r="A178" i="2"/>
  <c r="A807" i="2"/>
  <c r="A546" i="2"/>
  <c r="A697" i="2"/>
  <c r="A288" i="2"/>
  <c r="A225" i="2"/>
  <c r="A983" i="2"/>
  <c r="A847" i="2"/>
  <c r="A613" i="2"/>
  <c r="A11" i="2"/>
  <c r="N4" i="2"/>
  <c r="A305" i="2" s="1"/>
  <c r="L5" i="2"/>
  <c r="M5" i="2" s="1"/>
  <c r="A235" i="2" l="1"/>
  <c r="A468" i="2"/>
  <c r="A593" i="2"/>
  <c r="A239" i="2"/>
  <c r="A505" i="2"/>
  <c r="A282" i="2"/>
  <c r="L6" i="2"/>
  <c r="M6" i="2" s="1"/>
  <c r="L7" i="2" s="1"/>
  <c r="M7" i="2" s="1"/>
  <c r="A480" i="2"/>
  <c r="A84" i="2"/>
  <c r="A679" i="2"/>
  <c r="A701" i="2"/>
  <c r="A601" i="2"/>
  <c r="A695" i="2"/>
  <c r="A267" i="2"/>
  <c r="A436" i="2"/>
  <c r="A460" i="2"/>
  <c r="A848" i="2"/>
  <c r="A845" i="2"/>
  <c r="A403" i="2"/>
  <c r="A503" i="2"/>
  <c r="A34" i="2"/>
  <c r="N5" i="2"/>
  <c r="A333" i="2" s="1"/>
  <c r="A745" i="2" l="1"/>
  <c r="A312" i="2"/>
  <c r="A867" i="2"/>
  <c r="A804" i="2"/>
  <c r="A756" i="2"/>
  <c r="A861" i="2"/>
  <c r="A550" i="2"/>
  <c r="A360" i="2"/>
  <c r="A484" i="2"/>
  <c r="A680" i="2"/>
  <c r="A598" i="2"/>
  <c r="A83" i="2"/>
  <c r="A41" i="2"/>
  <c r="A773" i="2"/>
  <c r="A7" i="2"/>
  <c r="A678" i="2"/>
  <c r="A961" i="2"/>
  <c r="N6" i="2"/>
  <c r="A905" i="2" s="1"/>
  <c r="L8" i="2"/>
  <c r="M8" i="2" s="1"/>
  <c r="A710" i="2" l="1"/>
  <c r="A954" i="2"/>
  <c r="A444" i="2"/>
  <c r="A881" i="2"/>
  <c r="A381" i="2"/>
  <c r="A467" i="2"/>
  <c r="A147" i="2"/>
  <c r="A993" i="2"/>
  <c r="A140" i="2"/>
  <c r="A998" i="2"/>
  <c r="A746" i="2"/>
  <c r="A898" i="2"/>
  <c r="A873" i="2"/>
  <c r="A49" i="2"/>
  <c r="A220" i="2"/>
  <c r="A70" i="2"/>
  <c r="A877" i="2"/>
  <c r="A535" i="2"/>
  <c r="A653" i="2"/>
  <c r="A889" i="2"/>
  <c r="A89" i="2"/>
  <c r="A927" i="2"/>
  <c r="N7" i="2"/>
  <c r="L9" i="2"/>
  <c r="M9" i="2" s="1"/>
  <c r="A607" i="2" l="1"/>
  <c r="A969" i="2"/>
  <c r="A647" i="2"/>
  <c r="A846" i="2"/>
  <c r="A368" i="2"/>
  <c r="A76" i="2"/>
  <c r="A978" i="2"/>
  <c r="N8" i="2"/>
  <c r="L10" i="2"/>
  <c r="M10" i="2" s="1"/>
  <c r="A581" i="2" l="1"/>
  <c r="A61" i="2"/>
  <c r="A243" i="2"/>
  <c r="A890" i="2"/>
  <c r="N9" i="2"/>
  <c r="L11" i="2"/>
  <c r="M11" i="2" s="1"/>
  <c r="A263" i="2" s="1"/>
  <c r="A488" i="2" l="1"/>
  <c r="A849" i="2"/>
  <c r="A377" i="2"/>
  <c r="A35" i="2"/>
  <c r="A779" i="2"/>
  <c r="A866" i="2"/>
  <c r="A486" i="2"/>
  <c r="A192" i="2"/>
  <c r="A655" i="2"/>
  <c r="A827" i="2"/>
  <c r="A955" i="2"/>
  <c r="A972" i="2"/>
  <c r="A365" i="2"/>
  <c r="A407" i="2"/>
  <c r="A748" i="2"/>
  <c r="A644" i="2"/>
  <c r="A191" i="2"/>
  <c r="A698" i="2"/>
  <c r="A138" i="2"/>
  <c r="A512" i="2"/>
  <c r="A411" i="2"/>
  <c r="A893" i="2"/>
  <c r="A303" i="2"/>
  <c r="A811" i="2"/>
  <c r="A859" i="2"/>
  <c r="A410" i="2"/>
  <c r="A470" i="2"/>
  <c r="A661" i="2"/>
  <c r="A557" i="2"/>
  <c r="A304" i="2"/>
  <c r="A699" i="2"/>
  <c r="A366" i="2"/>
  <c r="A556" i="2"/>
  <c r="A69" i="2"/>
  <c r="A462" i="2"/>
  <c r="A9" i="2"/>
  <c r="A924" i="2"/>
  <c r="A621" i="2"/>
  <c r="A493" i="2"/>
  <c r="A354" i="2"/>
  <c r="A454" i="2"/>
  <c r="A445" i="2"/>
  <c r="A279" i="2"/>
  <c r="A492" i="2"/>
  <c r="A670" i="2"/>
  <c r="A139" i="2"/>
  <c r="A739" i="2"/>
  <c r="A471" i="2"/>
  <c r="A447" i="2"/>
  <c r="A339" i="2"/>
  <c r="A92" i="2"/>
  <c r="A931" i="2"/>
  <c r="A52" i="2"/>
  <c r="A317" i="2"/>
  <c r="A888" i="2"/>
  <c r="A614" i="2"/>
  <c r="A717" i="2"/>
  <c r="A325" i="2"/>
  <c r="A916" i="2"/>
  <c r="A164" i="2"/>
  <c r="A68" i="2"/>
  <c r="A319" i="2"/>
  <c r="A981" i="2"/>
  <c r="A605" i="2"/>
  <c r="A908" i="2"/>
  <c r="A293" i="2"/>
  <c r="A925" i="2"/>
  <c r="A828" i="2"/>
  <c r="A922" i="2"/>
  <c r="A915" i="2"/>
  <c r="A722" i="2"/>
  <c r="A311" i="2"/>
  <c r="A944" i="2"/>
  <c r="A901" i="2"/>
  <c r="A206" i="2"/>
  <c r="A173" i="2"/>
  <c r="A461" i="2"/>
  <c r="A684" i="2"/>
  <c r="A517" i="2"/>
  <c r="A449" i="2"/>
  <c r="A723" i="2"/>
  <c r="A213" i="2"/>
  <c r="A228" i="2"/>
  <c r="A43" i="2"/>
  <c r="A388" i="2"/>
  <c r="A353" i="2"/>
  <c r="A566" i="2"/>
  <c r="A15" i="2"/>
  <c r="A64" i="2"/>
  <c r="A435" i="2"/>
  <c r="A260" i="2"/>
  <c r="A624" i="2"/>
  <c r="A334" i="2"/>
  <c r="A464" i="2"/>
  <c r="A851" i="2"/>
  <c r="A38" i="2"/>
  <c r="A323" i="2"/>
  <c r="A201" i="2"/>
  <c r="A45" i="2"/>
  <c r="A375" i="2"/>
  <c r="A704" i="2"/>
  <c r="A250" i="2"/>
  <c r="A741" i="2"/>
  <c r="A163" i="2"/>
  <c r="A960" i="2"/>
  <c r="A567" i="2"/>
  <c r="A422" i="2"/>
  <c r="A630" i="2"/>
  <c r="A156" i="2"/>
  <c r="A17" i="2"/>
  <c r="A115" i="2"/>
  <c r="A731" i="2"/>
  <c r="A209" i="2"/>
  <c r="A628" i="2"/>
  <c r="A714" i="2"/>
  <c r="A437" i="2"/>
  <c r="A580" i="2"/>
  <c r="A989" i="2"/>
  <c r="A212" i="2"/>
  <c r="A168" i="2"/>
  <c r="A472" i="2"/>
  <c r="A952" i="2"/>
  <c r="A434" i="2"/>
  <c r="A134" i="2"/>
  <c r="A204" i="2"/>
  <c r="A302" i="2"/>
  <c r="A549" i="2"/>
  <c r="A88" i="2"/>
  <c r="A466" i="2"/>
  <c r="A126" i="2"/>
  <c r="A667" i="2"/>
  <c r="A510" i="2"/>
  <c r="A565" i="2"/>
  <c r="A631" i="2"/>
  <c r="A16" i="2"/>
  <c r="A44" i="2"/>
  <c r="A479" i="2"/>
  <c r="A8" i="2"/>
  <c r="A101" i="2"/>
  <c r="A93" i="2"/>
  <c r="A161" i="2"/>
  <c r="A289" i="2"/>
  <c r="A559" i="2"/>
  <c r="A832" i="2"/>
  <c r="A298" i="2"/>
  <c r="A563" i="2"/>
  <c r="A290" i="2"/>
  <c r="A802" i="2"/>
  <c r="A181" i="2"/>
  <c r="A622" i="2"/>
  <c r="A244" i="2"/>
  <c r="A490" i="2"/>
  <c r="A707" i="2"/>
  <c r="A683" i="2"/>
  <c r="A531" i="2"/>
  <c r="A474" i="2"/>
  <c r="A200" i="2"/>
  <c r="A369" i="2"/>
  <c r="A31" i="2"/>
  <c r="A172" i="2"/>
  <c r="A125" i="2"/>
  <c r="A685" i="2"/>
  <c r="A625" i="2"/>
  <c r="A659" i="2"/>
  <c r="A465" i="2"/>
  <c r="A153" i="2"/>
  <c r="A876" i="2"/>
  <c r="A283" i="2"/>
  <c r="A230" i="2"/>
  <c r="A992" i="2"/>
  <c r="A185" i="2"/>
  <c r="A770" i="2"/>
  <c r="A834" i="2"/>
  <c r="A589" i="2"/>
  <c r="A572" i="2"/>
  <c r="A971" i="2"/>
  <c r="A803" i="2"/>
  <c r="A136" i="2"/>
  <c r="A820" i="2"/>
  <c r="A933" i="2"/>
  <c r="A19" i="2"/>
  <c r="A110" i="2"/>
  <c r="A310" i="2"/>
  <c r="A237" i="2"/>
  <c r="A453" i="2"/>
  <c r="A332" i="2"/>
  <c r="A103" i="2"/>
  <c r="A80" i="2"/>
  <c r="A202" i="2"/>
  <c r="A980" i="2"/>
  <c r="A663" i="2"/>
  <c r="A627" i="2"/>
  <c r="A117" i="2"/>
  <c r="A578" i="2"/>
  <c r="A39" i="2"/>
  <c r="A277" i="2"/>
  <c r="A300" i="2"/>
  <c r="A318" i="2"/>
  <c r="A121" i="2"/>
  <c r="A104" i="2"/>
  <c r="A787" i="2"/>
  <c r="A812" i="2"/>
  <c r="A246" i="2"/>
  <c r="A813" i="2"/>
  <c r="A259" i="2"/>
  <c r="A976" i="2"/>
  <c r="A143" i="2"/>
  <c r="A640" i="2"/>
  <c r="A287" i="2"/>
  <c r="A97" i="2"/>
  <c r="A499" i="2"/>
  <c r="A780" i="2"/>
  <c r="A364" i="2"/>
  <c r="A760" i="2"/>
  <c r="A899" i="2"/>
  <c r="A385" i="2"/>
  <c r="A906" i="2"/>
  <c r="A664" i="2"/>
  <c r="A144" i="2"/>
  <c r="A261" i="2"/>
  <c r="A137" i="2"/>
  <c r="A218" i="2"/>
  <c r="A936" i="2"/>
  <c r="A795" i="2"/>
  <c r="A255" i="2"/>
  <c r="A511" i="2"/>
  <c r="A965" i="2"/>
  <c r="A608" i="2"/>
  <c r="A265" i="2"/>
  <c r="A574" i="2"/>
  <c r="A78" i="2"/>
  <c r="A343" i="2"/>
  <c r="A824" i="2"/>
  <c r="A236" i="2"/>
  <c r="A316" i="2"/>
  <c r="A146" i="2"/>
  <c r="A396" i="2"/>
  <c r="A182" i="2"/>
  <c r="A543" i="2"/>
  <c r="A463" i="2"/>
  <c r="A256" i="2"/>
  <c r="A671" i="2"/>
  <c r="A40" i="2"/>
  <c r="A254" i="2"/>
  <c r="A528" i="2"/>
  <c r="A241" i="2"/>
  <c r="A478" i="2"/>
  <c r="A564" i="2"/>
  <c r="A47" i="2"/>
  <c r="A62" i="2"/>
  <c r="A227" i="2"/>
  <c r="A114" i="2"/>
  <c r="A469" i="2"/>
  <c r="A2" i="2"/>
  <c r="A443" i="2"/>
  <c r="A917" i="2"/>
  <c r="A502" i="2"/>
  <c r="A307" i="2"/>
  <c r="A321" i="2"/>
  <c r="A784" i="2"/>
  <c r="A223" i="2"/>
  <c r="A609" i="2"/>
  <c r="A415" i="2"/>
  <c r="A850" i="2"/>
  <c r="A880" i="2"/>
  <c r="A491" i="2"/>
  <c r="A100" i="2"/>
  <c r="A747" i="2"/>
  <c r="A494" i="2"/>
  <c r="A696" i="2"/>
  <c r="A183" i="2"/>
  <c r="A314" i="2"/>
  <c r="A395" i="2"/>
  <c r="A56" i="2"/>
  <c r="A166" i="2"/>
  <c r="A326" i="2"/>
  <c r="A819" i="2"/>
  <c r="A107" i="2"/>
  <c r="A923" i="2"/>
  <c r="A10" i="2"/>
  <c r="A341" i="2"/>
  <c r="A297" i="2"/>
  <c r="A133" i="2"/>
  <c r="A428" i="2"/>
  <c r="A96" i="2"/>
  <c r="A519" i="2"/>
  <c r="A772" i="2"/>
  <c r="A932" i="2"/>
  <c r="A561" i="2"/>
  <c r="A892" i="2"/>
  <c r="A106" i="2"/>
  <c r="A351" i="2"/>
  <c r="A187" i="2"/>
  <c r="A523" i="2"/>
  <c r="A90" i="2"/>
  <c r="A506" i="2"/>
  <c r="A322" i="2"/>
  <c r="A48" i="2"/>
  <c r="A421" i="2"/>
  <c r="A130" i="2"/>
  <c r="A513" i="2"/>
  <c r="A400" i="2"/>
  <c r="A184" i="2"/>
  <c r="A497" i="2"/>
  <c r="A154" i="2"/>
  <c r="A771" i="2"/>
  <c r="A712" i="2"/>
  <c r="A177" i="2"/>
  <c r="A423" i="2"/>
  <c r="A835" i="2"/>
  <c r="A389" i="2"/>
  <c r="A51" i="2"/>
  <c r="A370" i="2"/>
  <c r="A4" i="2"/>
  <c r="A594" i="2"/>
  <c r="A50" i="2"/>
  <c r="A94" i="2"/>
  <c r="A242" i="2"/>
  <c r="A359" i="2"/>
  <c r="A399" i="2"/>
  <c r="A26" i="2"/>
  <c r="A633" i="2"/>
  <c r="A575" i="2"/>
  <c r="A599" i="2"/>
  <c r="A413" i="2"/>
  <c r="A128" i="2"/>
  <c r="A266" i="2"/>
  <c r="A970" i="2"/>
  <c r="A141" i="2"/>
  <c r="A805" i="2"/>
  <c r="A82" i="2"/>
  <c r="A431" i="2"/>
  <c r="A485" i="2"/>
  <c r="A28" i="2"/>
  <c r="A13" i="2"/>
  <c r="A500" i="2"/>
  <c r="A280" i="2"/>
  <c r="A355" i="2"/>
  <c r="A405" i="2"/>
  <c r="A856" i="2"/>
  <c r="A562" i="2"/>
  <c r="A715" i="2"/>
  <c r="A588" i="2"/>
  <c r="A23" i="2"/>
  <c r="A81" i="2"/>
  <c r="A829" i="2"/>
  <c r="A526" i="2"/>
  <c r="A155" i="2"/>
  <c r="A383" i="2"/>
  <c r="A119" i="2"/>
  <c r="A224" i="2"/>
  <c r="A292" i="2"/>
  <c r="A217" i="2"/>
  <c r="A635" i="2"/>
  <c r="A852" i="2"/>
  <c r="A249" i="2"/>
  <c r="A907" i="2"/>
  <c r="A542" i="2"/>
  <c r="A808" i="2"/>
  <c r="A18" i="2"/>
  <c r="A221" i="2"/>
  <c r="A606" i="2"/>
  <c r="A943" i="2"/>
  <c r="A749" i="2"/>
  <c r="A858" i="2"/>
  <c r="A72" i="2"/>
  <c r="A597" i="2"/>
  <c r="A54" i="2"/>
  <c r="A392" i="2"/>
  <c r="A214" i="2"/>
  <c r="A151" i="2"/>
  <c r="A401" i="2"/>
  <c r="A358" i="2"/>
  <c r="A306" i="2"/>
  <c r="A738" i="2"/>
  <c r="A797" i="2"/>
  <c r="A165" i="2"/>
  <c r="A108" i="2"/>
  <c r="A541" i="2"/>
  <c r="A595" i="2"/>
  <c r="A885" i="2"/>
  <c r="A59" i="2"/>
  <c r="A821" i="2"/>
  <c r="A935" i="2"/>
  <c r="A348" i="2"/>
  <c r="A286" i="2"/>
  <c r="A896" i="2"/>
  <c r="A211" i="2"/>
  <c r="A273" i="2"/>
  <c r="A939" i="2"/>
  <c r="A937" i="2"/>
  <c r="A974" i="2"/>
  <c r="A473" i="2"/>
  <c r="A987" i="2"/>
  <c r="A825" i="2"/>
  <c r="A507" i="2"/>
  <c r="A669" i="2"/>
  <c r="A373" i="2"/>
  <c r="A988" i="2"/>
  <c r="A30" i="2"/>
  <c r="A768" i="2"/>
  <c r="A602" i="2"/>
  <c r="A274" i="2"/>
  <c r="A785" i="2"/>
  <c r="A553" i="2"/>
  <c r="A733" i="2"/>
  <c r="A22" i="2"/>
  <c r="A900" i="2"/>
  <c r="A620" i="2"/>
  <c r="A60" i="2"/>
  <c r="A910" i="2"/>
  <c r="A639" i="2"/>
  <c r="A149" i="2"/>
  <c r="A346" i="2"/>
  <c r="A897" i="2"/>
  <c r="A857" i="2"/>
  <c r="A342" i="2"/>
  <c r="A118" i="2"/>
  <c r="A198" i="2"/>
  <c r="A404" i="2"/>
  <c r="A532" i="2"/>
  <c r="A251" i="2"/>
  <c r="A826" i="2"/>
  <c r="A205" i="2"/>
  <c r="A476" i="2"/>
  <c r="A142" i="2"/>
  <c r="A27" i="2"/>
  <c r="A652" i="2"/>
  <c r="A253" i="2"/>
  <c r="A24" i="2"/>
  <c r="A654" i="2"/>
  <c r="A818" i="2"/>
  <c r="A675" i="2"/>
  <c r="A822" i="2"/>
  <c r="A686" i="2"/>
  <c r="A257" i="2"/>
  <c r="A658" i="2"/>
  <c r="A132" i="2"/>
  <c r="A344" i="2"/>
  <c r="A830" i="2"/>
  <c r="A116" i="2"/>
  <c r="A774" i="2"/>
  <c r="A763" i="2"/>
  <c r="A837" i="2"/>
  <c r="A869" i="2"/>
  <c r="A46" i="2"/>
  <c r="A947" i="2"/>
  <c r="A150" i="2"/>
  <c r="A694" i="2"/>
  <c r="A662" i="2"/>
  <c r="A534" i="2"/>
  <c r="A439" i="2"/>
  <c r="A949" i="2"/>
  <c r="A554" i="2"/>
  <c r="A920" i="2"/>
  <c r="A719" i="2"/>
  <c r="A552" i="2"/>
  <c r="A817" i="2"/>
  <c r="A577" i="2"/>
  <c r="A406" i="2"/>
  <c r="A380" i="2"/>
  <c r="A226" i="2"/>
  <c r="A450" i="2"/>
  <c r="A409" i="2"/>
  <c r="A903" i="2"/>
  <c r="A946" i="2"/>
  <c r="A693" i="2"/>
  <c r="A75" i="2"/>
  <c r="A788" i="2"/>
  <c r="A781" i="2"/>
  <c r="A414" i="2"/>
  <c r="A347" i="2"/>
  <c r="A660" i="2"/>
  <c r="A959" i="2"/>
  <c r="A361" i="2"/>
  <c r="A442" i="2"/>
  <c r="A702" i="2"/>
  <c r="A862" i="2"/>
  <c r="A855" i="2"/>
  <c r="A229" i="2"/>
  <c r="A810" i="2"/>
  <c r="A573" i="2"/>
  <c r="A448" i="2"/>
  <c r="A596" i="2"/>
  <c r="A753" i="2"/>
  <c r="A1000" i="2"/>
  <c r="A691" i="2"/>
  <c r="A651" i="2"/>
  <c r="A816" i="2"/>
  <c r="A754" i="2"/>
  <c r="A145" i="2"/>
  <c r="A740" i="2"/>
  <c r="A285" i="2"/>
  <c r="A393" i="2"/>
  <c r="A412" i="2"/>
  <c r="A131" i="2"/>
  <c r="A767" i="2"/>
  <c r="A806" i="2"/>
  <c r="A582" i="2"/>
  <c r="A721" i="2"/>
  <c r="A584" i="2"/>
  <c r="A309" i="2"/>
  <c r="A362" i="2"/>
  <c r="A176" i="2"/>
  <c r="A129" i="2"/>
  <c r="A587" i="2"/>
  <c r="A207" i="2"/>
  <c r="A294" i="2"/>
  <c r="A338" i="2"/>
  <c r="A996" i="2"/>
  <c r="A247" i="2"/>
  <c r="A210" i="2"/>
  <c r="A641" i="2"/>
  <c r="A159" i="2"/>
  <c r="A610" i="2"/>
  <c r="A487" i="2"/>
  <c r="A761" i="2"/>
  <c r="A520" i="2"/>
  <c r="A725" i="2"/>
  <c r="A330" i="2"/>
  <c r="A123" i="2"/>
  <c r="A782" i="2"/>
  <c r="A569" i="2"/>
  <c r="A736" i="2"/>
  <c r="A33" i="2"/>
  <c r="A515" i="2"/>
  <c r="A711" i="2"/>
  <c r="A180" i="2"/>
  <c r="A152" i="2"/>
  <c r="A618" i="2"/>
  <c r="A537" i="2"/>
  <c r="A299" i="2"/>
  <c r="A863" i="2"/>
  <c r="A496" i="2"/>
  <c r="A427" i="2"/>
  <c r="A63" i="2"/>
  <c r="A216" i="2"/>
  <c r="A416" i="2"/>
  <c r="A930" i="2"/>
  <c r="A186" i="2"/>
  <c r="A547" i="2"/>
  <c r="A533" i="2"/>
  <c r="A372" i="2"/>
  <c r="A120" i="2"/>
  <c r="A796" i="2"/>
  <c r="A308" i="2"/>
  <c r="A571" i="2"/>
  <c r="A801" i="2"/>
  <c r="A536" i="2"/>
  <c r="A426" i="2"/>
  <c r="A203" i="2"/>
  <c r="A376" i="2"/>
  <c r="A734" i="2"/>
  <c r="A252" i="2"/>
  <c r="A67" i="2"/>
  <c r="A539" i="2"/>
  <c r="A336" i="2"/>
  <c r="A188" i="2"/>
  <c r="A750" i="2"/>
  <c r="A792" i="2"/>
  <c r="A766" i="2"/>
  <c r="A975" i="2"/>
  <c r="A705" i="2"/>
  <c r="A968" i="2"/>
  <c r="A929" i="2"/>
  <c r="A864" i="2"/>
  <c r="A690" i="2"/>
  <c r="A764" i="2"/>
  <c r="A844" i="2"/>
  <c r="A363" i="2"/>
  <c r="A109" i="2"/>
  <c r="A113" i="2"/>
  <c r="A382" i="2"/>
  <c r="A451" i="2"/>
  <c r="A853" i="2"/>
  <c r="A518" i="2"/>
  <c r="A579" i="2"/>
  <c r="A6" i="2"/>
  <c r="A419" i="2"/>
  <c r="A378" i="2"/>
  <c r="A926" i="2"/>
  <c r="A291" i="2"/>
  <c r="A208" i="2"/>
  <c r="A783" i="2"/>
  <c r="A527" i="2"/>
  <c r="A755" i="2"/>
  <c r="A586" i="2"/>
  <c r="A860" i="2"/>
  <c r="A570" i="2"/>
  <c r="A315" i="2"/>
  <c r="A919" i="2"/>
  <c r="A982" i="2"/>
  <c r="A765" i="2"/>
  <c r="A193" i="2"/>
  <c r="A833" i="2"/>
  <c r="A271" i="2"/>
  <c r="A735" i="2"/>
  <c r="A232" i="2"/>
  <c r="A958" i="2"/>
  <c r="A124" i="2"/>
  <c r="A984" i="2"/>
  <c r="A157" i="2"/>
  <c r="A331" i="2"/>
  <c r="A335" i="2"/>
  <c r="A769" i="2"/>
  <c r="A883" i="2"/>
  <c r="A111" i="2"/>
  <c r="A708" i="2"/>
  <c r="A384" i="2"/>
  <c r="A441" i="2"/>
  <c r="A568" i="2"/>
  <c r="A700" i="2"/>
  <c r="A617" i="2"/>
  <c r="A759" i="2"/>
  <c r="A706" i="2"/>
  <c r="A798" i="2"/>
  <c r="A634" i="2"/>
  <c r="A728" i="2"/>
  <c r="A555" i="2"/>
  <c r="A86" i="2"/>
  <c r="A3" i="2"/>
  <c r="A838" i="2"/>
  <c r="A432" i="2"/>
  <c r="A611" i="2"/>
  <c r="A777" i="2"/>
  <c r="A544" i="2"/>
  <c r="A457" i="2"/>
  <c r="A966" i="2"/>
  <c r="A616" i="2"/>
  <c r="A509" i="2"/>
  <c r="A215" i="2"/>
  <c r="A666" i="2"/>
  <c r="A999" i="2"/>
  <c r="A990" i="2"/>
  <c r="A870" i="2"/>
  <c r="A284" i="2"/>
  <c r="A456" i="2"/>
  <c r="A240" i="2"/>
  <c r="A775" i="2"/>
  <c r="A872" i="2"/>
  <c r="A504" i="2"/>
  <c r="A730" i="2"/>
  <c r="A791" i="2"/>
  <c r="A199" i="2"/>
  <c r="A179" i="2"/>
  <c r="A894" i="2"/>
  <c r="A632" i="2"/>
  <c r="A167" i="2"/>
  <c r="A726" i="2"/>
  <c r="A629" i="2"/>
  <c r="A197" i="2"/>
  <c r="A98" i="2"/>
  <c r="A656" i="2"/>
  <c r="A498" i="2"/>
  <c r="A665" i="2"/>
  <c r="A327" i="2"/>
  <c r="A720" i="2"/>
  <c r="A296" i="2"/>
  <c r="A58" i="2"/>
  <c r="A275" i="2"/>
  <c r="A809" i="2"/>
  <c r="A648" i="2"/>
  <c r="A1001" i="2"/>
  <c r="A508" i="2"/>
  <c r="A194" i="2"/>
  <c r="A650" i="2"/>
  <c r="A190" i="2"/>
  <c r="A79" i="2"/>
  <c r="A560" i="2"/>
  <c r="A918" i="2"/>
  <c r="A985" i="2"/>
  <c r="A742" i="2"/>
  <c r="A514" i="2"/>
  <c r="A585" i="2"/>
  <c r="A752" i="2"/>
  <c r="A790" i="2"/>
  <c r="A489" i="2"/>
  <c r="A668" i="2"/>
  <c r="A891" i="2"/>
  <c r="A713" i="2"/>
  <c r="A408" i="2"/>
  <c r="A793" i="2"/>
  <c r="A815" i="2"/>
  <c r="A600" i="2"/>
  <c r="A270" i="2"/>
  <c r="A718" i="2"/>
  <c r="A440" i="2"/>
  <c r="A814" i="2"/>
  <c r="A977" i="2"/>
  <c r="A99" i="2"/>
  <c r="A638" i="2"/>
  <c r="A879" i="2"/>
  <c r="A854" i="2"/>
  <c r="A459" i="2"/>
  <c r="A875" i="2"/>
  <c r="A42" i="2"/>
  <c r="A276" i="2"/>
  <c r="A921" i="2"/>
  <c r="A934" i="2"/>
  <c r="A20" i="2"/>
  <c r="A522" i="2"/>
  <c r="A248" i="2"/>
  <c r="A682" i="2"/>
  <c r="A329" i="2"/>
  <c r="A521" i="2"/>
  <c r="A902" i="2"/>
  <c r="A831" i="2"/>
  <c r="A642" i="2"/>
  <c r="A73" i="2"/>
  <c r="A751" i="2"/>
  <c r="A687" i="2"/>
  <c r="A703" i="2"/>
  <c r="A394" i="2"/>
  <c r="A591" i="2"/>
  <c r="N10" i="2"/>
  <c r="A324" i="2" s="1"/>
  <c r="A424" i="2" l="1"/>
  <c r="A626" i="2"/>
  <c r="A386" i="2"/>
  <c r="A676" i="2"/>
  <c r="A112" i="2"/>
  <c r="A328" i="2"/>
  <c r="A673" i="2"/>
  <c r="A501" i="2"/>
  <c r="A71" i="2"/>
  <c r="A438" i="2"/>
  <c r="A477" i="2"/>
  <c r="A948" i="2"/>
  <c r="A264" i="2"/>
  <c r="A345" i="2"/>
  <c r="A938" i="2"/>
  <c r="A458" i="2"/>
  <c r="A196" i="2"/>
  <c r="A356" i="2"/>
  <c r="A127" i="2"/>
  <c r="A398" i="2"/>
  <c r="A367" i="2"/>
  <c r="A430" i="2"/>
  <c r="A158" i="2"/>
  <c r="A950" i="2"/>
  <c r="A657" i="2"/>
  <c r="A417" i="2"/>
  <c r="A794" i="2"/>
  <c r="A32" i="2"/>
  <c r="A37" i="2"/>
  <c r="A102" i="2"/>
  <c r="A530" i="2"/>
  <c r="A195" i="2"/>
  <c r="A956" i="2"/>
  <c r="A865" i="2"/>
  <c r="A994" i="2"/>
  <c r="A623" i="2"/>
  <c r="A95" i="2"/>
  <c r="A349" i="2"/>
  <c r="A928" i="2"/>
  <c r="A175" i="2"/>
  <c r="A55" i="2"/>
  <c r="A878" i="2"/>
  <c r="A371" i="2"/>
  <c r="A420" i="2"/>
  <c r="A612" i="2"/>
  <c r="A737" i="2"/>
  <c r="A914" i="2"/>
  <c r="A643" i="2"/>
  <c r="A649" i="2"/>
  <c r="A5" i="2"/>
  <c r="A904" i="2"/>
  <c r="A995" i="2"/>
  <c r="A379" i="2"/>
  <c r="A674" i="2"/>
  <c r="A390" i="2"/>
  <c r="A912" i="2"/>
  <c r="A91" i="2"/>
  <c r="A776" i="2"/>
  <c r="A160" i="2"/>
  <c r="A516" i="2"/>
  <c r="A886" i="2"/>
  <c r="A874" i="2"/>
  <c r="A301" i="2"/>
  <c r="A778" i="2"/>
  <c r="A839" i="2"/>
  <c r="A425" i="2"/>
  <c r="A21" i="2"/>
  <c r="A29" i="2"/>
  <c r="A148" i="2"/>
  <c r="A169" i="2"/>
  <c r="A604" i="2"/>
  <c r="A840" i="2"/>
  <c r="A170" i="2"/>
  <c r="A402" i="2"/>
  <c r="A823" i="2"/>
  <c r="A619" i="2"/>
  <c r="A603" i="2"/>
  <c r="A66" i="2"/>
  <c r="A637" i="2"/>
  <c r="A85" i="2"/>
  <c r="A174" i="2"/>
  <c r="A525" i="2"/>
  <c r="A219" i="2"/>
  <c r="A545" i="2"/>
  <c r="A524" i="2"/>
  <c r="N11" i="2"/>
  <c r="A25" i="2" l="1"/>
  <c r="A529" i="2"/>
  <c r="A590" i="2"/>
  <c r="A481" i="2"/>
  <c r="A245" i="2"/>
  <c r="A786" i="2"/>
  <c r="A482" i="2"/>
  <c r="A540" i="2"/>
  <c r="A789" i="2"/>
  <c r="A446" i="2"/>
  <c r="A495" i="2"/>
  <c r="A268" i="2"/>
  <c r="A645" i="2"/>
  <c r="A762" i="2"/>
  <c r="A973" i="2"/>
  <c r="A391" i="2"/>
  <c r="A692" i="2"/>
  <c r="A397" i="2"/>
  <c r="A941" i="2"/>
  <c r="A74" i="2"/>
  <c r="A538" i="2"/>
  <c r="A357" i="2"/>
  <c r="A262" i="2"/>
  <c r="A583" i="2"/>
  <c r="A551" i="2"/>
  <c r="A709" i="2"/>
  <c r="A14" i="2"/>
  <c r="A716" i="2"/>
  <c r="A162" i="2"/>
  <c r="A548" i="2"/>
  <c r="A689" i="2"/>
  <c r="A871" i="2"/>
  <c r="A951" i="2"/>
  <c r="A278" i="2"/>
  <c r="A352" i="2"/>
  <c r="A911" i="2"/>
  <c r="A727" i="2"/>
  <c r="A724" i="2"/>
  <c r="A909" i="2"/>
  <c r="A732" i="2"/>
  <c r="A884" i="2"/>
  <c r="A340" i="2"/>
  <c r="A887" i="2"/>
  <c r="A57" i="2"/>
  <c r="A558" i="2"/>
  <c r="A677" i="2"/>
  <c r="A615" i="2"/>
  <c r="A135" i="2"/>
  <c r="A800" i="2"/>
  <c r="A592" i="2"/>
  <c r="A53" i="2"/>
  <c r="A272" i="2"/>
  <c r="A313" i="2"/>
  <c r="A455" i="2"/>
  <c r="A320" i="2"/>
  <c r="A374" i="2"/>
  <c r="A475" i="2"/>
  <c r="A843" i="2"/>
  <c r="A576" i="2"/>
  <c r="A36" i="2"/>
  <c r="A483" i="2"/>
  <c r="A942" i="2"/>
  <c r="A387" i="2"/>
  <c r="A841" i="2"/>
  <c r="A964" i="2"/>
  <c r="A281" i="2"/>
  <c r="A895" i="2"/>
  <c r="A743" i="2"/>
  <c r="A122" i="2"/>
  <c r="A295" i="2"/>
  <c r="A940" i="2"/>
  <c r="A757" i="2"/>
  <c r="A913" i="2"/>
  <c r="A688" i="2"/>
  <c r="A452" i="2"/>
  <c r="A945" i="2"/>
  <c r="A87" i="2"/>
  <c r="A234" i="2"/>
  <c r="A799" i="2"/>
  <c r="A77" i="2"/>
  <c r="A882" i="2"/>
  <c r="A269" i="2"/>
  <c r="A433" i="2"/>
  <c r="A636" i="2"/>
  <c r="A337" i="2"/>
</calcChain>
</file>

<file path=xl/sharedStrings.xml><?xml version="1.0" encoding="utf-8"?>
<sst xmlns="http://schemas.openxmlformats.org/spreadsheetml/2006/main" count="77" uniqueCount="50">
  <si>
    <t>Driver Age</t>
  </si>
  <si>
    <t>Driver Experience</t>
  </si>
  <si>
    <t>Previous Accidents</t>
  </si>
  <si>
    <t>Annual Mileage (x1000 km)</t>
  </si>
  <si>
    <t>Car Manufacturing Year</t>
  </si>
  <si>
    <t>Car Age</t>
  </si>
  <si>
    <t>Insurance Premium ($)</t>
  </si>
  <si>
    <t>Row Labels</t>
  </si>
  <si>
    <t>Grand Total</t>
  </si>
  <si>
    <t>Sum of Insurance Premium ($)</t>
  </si>
  <si>
    <t>Average of Insurance Premium ($)</t>
  </si>
  <si>
    <t>Average Premium By Age</t>
  </si>
  <si>
    <t>Previous Accident</t>
  </si>
  <si>
    <t>Driver's Experience</t>
  </si>
  <si>
    <t>Driver's Age</t>
  </si>
  <si>
    <t>Average Premium By Driver's Experience</t>
  </si>
  <si>
    <t>Average Premium By Previous Accident</t>
  </si>
  <si>
    <t>Annual Milleage (x1000 km)</t>
  </si>
  <si>
    <t>Average Premium By Annual Milleage</t>
  </si>
  <si>
    <t>Min of Insurance Premium ($)</t>
  </si>
  <si>
    <t>Max of Insurance Premium ($)</t>
  </si>
  <si>
    <t>Count of Insurance Premium ($)</t>
  </si>
  <si>
    <t>Average Premium By Car Age</t>
  </si>
  <si>
    <t>Age Band</t>
  </si>
  <si>
    <t>Bracket start</t>
  </si>
  <si>
    <t>Bracket end</t>
  </si>
  <si>
    <t>Driver Experience Band</t>
  </si>
  <si>
    <t>Annual Mileage Band</t>
  </si>
  <si>
    <t>53 - 58</t>
  </si>
  <si>
    <t>43 - 48</t>
  </si>
  <si>
    <t>28 - 33</t>
  </si>
  <si>
    <t>58 - 63</t>
  </si>
  <si>
    <t>23 - 28</t>
  </si>
  <si>
    <t>33 - 38</t>
  </si>
  <si>
    <t>38 - 43</t>
  </si>
  <si>
    <t>48 - 53</t>
  </si>
  <si>
    <t>18 - 23</t>
  </si>
  <si>
    <t>63 - 68</t>
  </si>
  <si>
    <t>30 - 35</t>
  </si>
  <si>
    <t>15 - 20</t>
  </si>
  <si>
    <t>10 - 15</t>
  </si>
  <si>
    <t>0 - 5</t>
  </si>
  <si>
    <t>5 - 10</t>
  </si>
  <si>
    <t>35 - 40</t>
  </si>
  <si>
    <t>20 - 25</t>
  </si>
  <si>
    <t>25 - 30</t>
  </si>
  <si>
    <t>15 - 19</t>
  </si>
  <si>
    <t>19 - 23</t>
  </si>
  <si>
    <t>11 - 15</t>
  </si>
  <si>
    <t>23 - 27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</si>
</sst>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_-"/>
    <numFmt numFmtId="165" formatCode="_-[$$-409]* #,##0_ ;_-[$$-409]* \-#,##0\ ;_-[$$-409]* &quot;-&quot;??_ ;_-@_ "/>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4">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cellXfs>
  <cellStyles count="1">
    <cellStyle name="Normal" xfId="0" builtinId="0"/>
  </cellStyles>
  <dxfs count="191">
    <dxf>
      <numFmt numFmtId="165" formatCode="_-[$$-409]* #,##0_ ;_-[$$-409]* \-#,##0\ ;_-[$$-409]* &quot;-&quot;??_ ;_-@_ "/>
    </dxf>
    <dxf>
      <numFmt numFmtId="165" formatCode="_-[$$-409]* #,##0_ ;_-[$$-409]* \-#,##0\ ;_-[$$-409]* &quot;-&quot;??_ ;_-@_ "/>
    </dxf>
    <dxf>
      <numFmt numFmtId="164" formatCode="_-* #,##0_-;\-* #,##0_-;_-* &quot;-&quot;??_-;_-@_-"/>
    </dxf>
    <dxf>
      <numFmt numFmtId="165" formatCode="_-[$$-409]* #,##0_ ;_-[$$-409]* \-#,##0\ ;_-[$$-409]* &quot;-&quot;??_ ;_-@_ "/>
    </dxf>
    <dxf>
      <numFmt numFmtId="165" formatCode="_-[$$-409]* #,##0_ ;_-[$$-409]* \-#,##0\ ;_-[$$-409]* &quot;-&quot;??_ ;_-@_ "/>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5" formatCode="_-[$$-409]* #,##0_ ;_-[$$-409]* \-#,##0\ ;_-[$$-409]* &quot;-&quot;??_ ;_-@_ "/>
    </dxf>
    <dxf>
      <numFmt numFmtId="165" formatCode="_-[$$-409]* #,##0_ ;_-[$$-409]* \-#,##0\ ;_-[$$-409]* &quot;-&quot;??_ ;_-@_ "/>
    </dxf>
    <dxf>
      <numFmt numFmtId="164" formatCode="_-* #,##0_-;\-* #,##0_-;_-* &quot;-&quot;??_-;_-@_-"/>
    </dxf>
    <dxf>
      <numFmt numFmtId="165" formatCode="_-[$$-409]* #,##0_ ;_-[$$-409]* \-#,##0\ ;_-[$$-409]* &quot;-&quot;??_ ;_-@_ "/>
    </dxf>
    <dxf>
      <numFmt numFmtId="165" formatCode="_-[$$-409]* #,##0_ ;_-[$$-409]* \-#,##0\ ;_-[$$-409]* &quot;-&quot;??_ ;_-@_ "/>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5" formatCode="_-[$$-409]* #,##0_ ;_-[$$-409]* \-#,##0\ ;_-[$$-409]* &quot;-&quot;??_ ;_-@_ "/>
    </dxf>
    <dxf>
      <numFmt numFmtId="165" formatCode="_-[$$-409]* #,##0_ ;_-[$$-409]* \-#,##0\ ;_-[$$-409]* &quot;-&quot;??_ ;_-@_ "/>
    </dxf>
    <dxf>
      <numFmt numFmtId="164" formatCode="_-* #,##0_-;\-* #,##0_-;_-* &quot;-&quot;??_-;_-@_-"/>
    </dxf>
    <dxf>
      <numFmt numFmtId="165" formatCode="_-[$$-409]* #,##0_ ;_-[$$-409]* \-#,##0\ ;_-[$$-409]* &quot;-&quot;??_ ;_-@_ "/>
    </dxf>
    <dxf>
      <numFmt numFmtId="165" formatCode="_-[$$-409]* #,##0_ ;_-[$$-409]* \-#,##0\ ;_-[$$-409]* &quot;-&quot;??_ ;_-@_ "/>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5" formatCode="_-[$$-409]* #,##0_ ;_-[$$-409]* \-#,##0\ ;_-[$$-409]* &quot;-&quot;??_ ;_-@_ "/>
    </dxf>
    <dxf>
      <numFmt numFmtId="165" formatCode="_-[$$-409]* #,##0_ ;_-[$$-409]* \-#,##0\ ;_-[$$-409]* &quot;-&quot;??_ ;_-@_ "/>
    </dxf>
    <dxf>
      <numFmt numFmtId="164" formatCode="_-* #,##0_-;\-* #,##0_-;_-* &quot;-&quot;??_-;_-@_-"/>
    </dxf>
    <dxf>
      <numFmt numFmtId="165" formatCode="_-[$$-409]* #,##0_ ;_-[$$-409]* \-#,##0\ ;_-[$$-409]* &quot;-&quot;??_ ;_-@_ "/>
    </dxf>
    <dxf>
      <numFmt numFmtId="165" formatCode="_-[$$-409]* #,##0_ ;_-[$$-409]* \-#,##0\ ;_-[$$-409]* &quot;-&quot;??_ ;_-@_ "/>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5" formatCode="_-[$$-409]* #,##0_ ;_-[$$-409]* \-#,##0\ ;_-[$$-409]* &quot;-&quot;??_ ;_-@_ "/>
    </dxf>
    <dxf>
      <numFmt numFmtId="165" formatCode="_-[$$-409]* #,##0_ ;_-[$$-409]* \-#,##0\ ;_-[$$-409]* &quot;-&quot;??_ ;_-@_ "/>
    </dxf>
    <dxf>
      <numFmt numFmtId="164" formatCode="_-* #,##0_-;\-* #,##0_-;_-* &quot;-&quot;??_-;_-@_-"/>
    </dxf>
    <dxf>
      <numFmt numFmtId="165" formatCode="_-[$$-409]* #,##0_ ;_-[$$-409]* \-#,##0\ ;_-[$$-409]* &quot;-&quot;??_ ;_-@_ "/>
    </dxf>
    <dxf>
      <numFmt numFmtId="165" formatCode="_-[$$-409]* #,##0_ ;_-[$$-409]* \-#,##0\ ;_-[$$-409]* &quot;-&quot;??_ ;_-@_ "/>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5" formatCode="_-[$$-409]* #,##0_ ;_-[$$-409]* \-#,##0\ ;_-[$$-409]* &quot;-&quot;??_ ;_-@_ "/>
    </dxf>
    <dxf>
      <numFmt numFmtId="165" formatCode="_-[$$-409]* #,##0_ ;_-[$$-409]* \-#,##0\ ;_-[$$-409]* &quot;-&quot;??_ ;_-@_ "/>
    </dxf>
    <dxf>
      <numFmt numFmtId="164" formatCode="_-* #,##0_-;\-* #,##0_-;_-* &quot;-&quot;??_-;_-@_-"/>
    </dxf>
    <dxf>
      <numFmt numFmtId="165" formatCode="_-[$$-409]* #,##0_ ;_-[$$-409]* \-#,##0\ ;_-[$$-409]* &quot;-&quot;??_ ;_-@_ "/>
    </dxf>
    <dxf>
      <numFmt numFmtId="165" formatCode="_-[$$-409]* #,##0_ ;_-[$$-409]* \-#,##0\ ;_-[$$-409]* &quot;-&quot;??_ ;_-@_ "/>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5" formatCode="_-[$$-409]* #,##0_ ;_-[$$-409]* \-#,##0\ ;_-[$$-409]* &quot;-&quot;??_ ;_-@_ "/>
    </dxf>
    <dxf>
      <numFmt numFmtId="165" formatCode="_-[$$-409]* #,##0_ ;_-[$$-409]* \-#,##0\ ;_-[$$-409]* &quot;-&quot;??_ ;_-@_ "/>
    </dxf>
    <dxf>
      <numFmt numFmtId="164" formatCode="_-* #,##0_-;\-* #,##0_-;_-* &quot;-&quot;??_-;_-@_-"/>
    </dxf>
    <dxf>
      <numFmt numFmtId="165" formatCode="_-[$$-409]* #,##0_ ;_-[$$-409]* \-#,##0\ ;_-[$$-409]* &quot;-&quot;??_ ;_-@_ "/>
    </dxf>
    <dxf>
      <numFmt numFmtId="165" formatCode="_-[$$-409]* #,##0_ ;_-[$$-409]* \-#,##0\ ;_-[$$-409]* &quot;-&quot;??_ ;_-@_ "/>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5" formatCode="_-[$$-409]* #,##0_ ;_-[$$-409]* \-#,##0\ ;_-[$$-409]* &quot;-&quot;??_ ;_-@_ "/>
    </dxf>
    <dxf>
      <numFmt numFmtId="164" formatCode="_-* #,##0_-;\-* #,##0_-;_-* &quot;-&quot;??_-;_-@_-"/>
    </dxf>
    <dxf>
      <numFmt numFmtId="165" formatCode="_-[$$-409]* #,##0_ ;_-[$$-409]* \-#,##0\ ;_-[$$-409]* &quot;-&quot;??_ ;_-@_ "/>
    </dxf>
    <dxf>
      <numFmt numFmtId="165" formatCode="_-[$$-409]* #,##0_ ;_-[$$-409]* \-#,##0\ ;_-[$$-409]* &quot;-&quot;??_ ;_-@_ "/>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5" formatCode="_-[$$-409]* #,##0_ ;_-[$$-409]* \-#,##0\ ;_-[$$-409]* &quot;-&quot;??_ ;_-@_ "/>
    </dxf>
    <dxf>
      <numFmt numFmtId="165" formatCode="_-[$$-409]* #,##0_ ;_-[$$-409]* \-#,##0\ ;_-[$$-409]* &quot;-&quot;??_ ;_-@_ "/>
    </dxf>
    <dxf>
      <numFmt numFmtId="164" formatCode="_-* #,##0_-;\-* #,##0_-;_-* &quot;-&quot;??_-;_-@_-"/>
    </dxf>
    <dxf>
      <numFmt numFmtId="165" formatCode="_-[$$-409]* #,##0_ ;_-[$$-409]* \-#,##0\ ;_-[$$-409]* &quot;-&quot;??_ ;_-@_ "/>
    </dxf>
    <dxf>
      <numFmt numFmtId="165" formatCode="_-[$$-409]* #,##0_ ;_-[$$-409]* \-#,##0\ ;_-[$$-409]* &quot;-&quot;??_ ;_-@_ "/>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5" formatCode="_-[$$-409]* #,##0_ ;_-[$$-409]* \-#,##0\ ;_-[$$-409]* &quot;-&quot;??_ ;_-@_ "/>
    </dxf>
    <dxf>
      <numFmt numFmtId="164" formatCode="_-* #,##0_-;\-* #,##0_-;_-* &quot;-&quot;??_-;_-@_-"/>
    </dxf>
    <dxf>
      <numFmt numFmtId="165" formatCode="_-[$$-409]* #,##0_ ;_-[$$-409]* \-#,##0\ ;_-[$$-409]* &quot;-&quot;??_ ;_-@_ "/>
    </dxf>
    <dxf>
      <numFmt numFmtId="165" formatCode="_-[$$-409]* #,##0_ ;_-[$$-409]* \-#,##0\ ;_-[$$-409]* &quot;-&quot;??_ ;_-@_ "/>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5" formatCode="_-[$$-409]* #,##0_ ;_-[$$-409]* \-#,##0\ ;_-[$$-409]* &quot;-&quot;??_ ;_-@_ "/>
    </dxf>
    <dxf>
      <numFmt numFmtId="164" formatCode="_-* #,##0_-;\-* #,##0_-;_-* &quot;-&quot;??_-;_-@_-"/>
    </dxf>
    <dxf>
      <numFmt numFmtId="165" formatCode="_-[$$-409]* #,##0_ ;_-[$$-409]* \-#,##0\ ;_-[$$-409]* &quot;-&quot;??_ ;_-@_ "/>
    </dxf>
    <dxf>
      <numFmt numFmtId="165" formatCode="_-[$$-409]* #,##0_ ;_-[$$-409]* \-#,##0\ ;_-[$$-409]* &quot;-&quot;??_ ;_-@_ "/>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5" formatCode="_-[$$-409]* #,##0_ ;_-[$$-409]* \-#,##0\ ;_-[$$-409]* &quot;-&quot;??_ ;_-@_ "/>
    </dxf>
    <dxf>
      <numFmt numFmtId="164" formatCode="_-* #,##0_-;\-* #,##0_-;_-* &quot;-&quot;??_-;_-@_-"/>
    </dxf>
    <dxf>
      <numFmt numFmtId="165" formatCode="_-[$$-409]* #,##0_ ;_-[$$-409]* \-#,##0\ ;_-[$$-409]* &quot;-&quot;??_ ;_-@_ "/>
    </dxf>
    <dxf>
      <numFmt numFmtId="165" formatCode="_-[$$-409]* #,##0_ ;_-[$$-409]* \-#,##0\ ;_-[$$-409]* &quot;-&quot;??_ ;_-@_ "/>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5" formatCode="_-[$$-409]* #,##0_ ;_-[$$-409]* \-#,##0\ ;_-[$$-409]* &quot;-&quot;??_ ;_-@_ "/>
    </dxf>
    <dxf>
      <numFmt numFmtId="164" formatCode="_-* #,##0_-;\-* #,##0_-;_-* &quot;-&quot;??_-;_-@_-"/>
    </dxf>
    <dxf>
      <numFmt numFmtId="165" formatCode="_-[$$-409]* #,##0_ ;_-[$$-409]* \-#,##0\ ;_-[$$-409]* &quot;-&quot;??_ ;_-@_ "/>
    </dxf>
    <dxf>
      <numFmt numFmtId="165" formatCode="_-[$$-409]* #,##0_ ;_-[$$-409]* \-#,##0\ ;_-[$$-409]* &quot;-&quot;??_ ;_-@_ "/>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5" formatCode="_-[$$-409]* #,##0_ ;_-[$$-409]* \-#,##0\ ;_-[$$-409]* &quot;-&quot;??_ ;_-@_ "/>
    </dxf>
    <dxf>
      <numFmt numFmtId="164" formatCode="_-* #,##0_-;\-* #,##0_-;_-* &quot;-&quot;??_-;_-@_-"/>
    </dxf>
    <dxf>
      <numFmt numFmtId="165" formatCode="_-[$$-409]* #,##0_ ;_-[$$-409]* \-#,##0\ ;_-[$$-409]* &quot;-&quot;??_ ;_-@_ "/>
    </dxf>
    <dxf>
      <numFmt numFmtId="165" formatCode="_-[$$-409]* #,##0_ ;_-[$$-409]* \-#,##0\ ;_-[$$-409]* &quot;-&quot;??_ ;_-@_ "/>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5" formatCode="_-[$$-409]* #,##0_ ;_-[$$-409]* \-#,##0\ ;_-[$$-409]* &quot;-&quot;??_ ;_-@_ "/>
    </dxf>
    <dxf>
      <numFmt numFmtId="164" formatCode="_-* #,##0_-;\-* #,##0_-;_-* &quot;-&quot;??_-;_-@_-"/>
    </dxf>
    <dxf>
      <numFmt numFmtId="165" formatCode="_-[$$-409]* #,##0_ ;_-[$$-409]* \-#,##0\ ;_-[$$-409]* &quot;-&quot;??_ ;_-@_ "/>
    </dxf>
    <dxf>
      <numFmt numFmtId="165" formatCode="_-[$$-409]* #,##0_ ;_-[$$-409]* \-#,##0\ ;_-[$$-409]* &quot;-&quot;??_ ;_-@_ "/>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5" formatCode="_-[$$-409]* #,##0_ ;_-[$$-409]* \-#,##0\ ;_-[$$-409]* &quot;-&quot;??_ ;_-@_ "/>
    </dxf>
    <dxf>
      <numFmt numFmtId="164" formatCode="_-* #,##0_-;\-* #,##0_-;_-* &quot;-&quot;??_-;_-@_-"/>
    </dxf>
    <dxf>
      <numFmt numFmtId="165" formatCode="_-[$$-409]* #,##0_ ;_-[$$-409]* \-#,##0\ ;_-[$$-409]* &quot;-&quot;??_ ;_-@_ "/>
    </dxf>
    <dxf>
      <numFmt numFmtId="165" formatCode="_-[$$-409]* #,##0_ ;_-[$$-409]* \-#,##0\ ;_-[$$-409]* &quot;-&quot;??_ ;_-@_ "/>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5" formatCode="_-[$$-409]* #,##0_ ;_-[$$-409]* \-#,##0\ ;_-[$$-409]* &quot;-&quot;??_ ;_-@_ "/>
    </dxf>
    <dxf>
      <numFmt numFmtId="164" formatCode="_-* #,##0_-;\-* #,##0_-;_-* &quot;-&quot;??_-;_-@_-"/>
    </dxf>
    <dxf>
      <numFmt numFmtId="165" formatCode="_-[$$-409]* #,##0_ ;_-[$$-409]* \-#,##0\ ;_-[$$-409]* &quot;-&quot;??_ ;_-@_ "/>
    </dxf>
    <dxf>
      <numFmt numFmtId="165" formatCode="_-[$$-409]* #,##0_ ;_-[$$-409]* \-#,##0\ ;_-[$$-409]* &quot;-&quot;??_ ;_-@_ "/>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5" formatCode="_-[$$-409]* #,##0_ ;_-[$$-409]* \-#,##0\ ;_-[$$-409]* &quot;-&quot;??_ ;_-@_ "/>
    </dxf>
    <dxf>
      <numFmt numFmtId="164" formatCode="_-* #,##0_-;\-* #,##0_-;_-* &quot;-&quot;??_-;_-@_-"/>
    </dxf>
    <dxf>
      <numFmt numFmtId="165" formatCode="_-[$$-409]* #,##0_ ;_-[$$-409]* \-#,##0\ ;_-[$$-409]* &quot;-&quot;??_ ;_-@_ "/>
    </dxf>
    <dxf>
      <numFmt numFmtId="165" formatCode="_-[$$-409]* #,##0_ ;_-[$$-409]* \-#,##0\ ;_-[$$-409]* &quot;-&quot;??_ ;_-@_ "/>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s>
  <tableStyles count="0" defaultTableStyle="TableStyleMedium2" defaultPivotStyle="PivotStyleLight16"/>
  <colors>
    <mruColors>
      <color rgb="FF9636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Insurance Dashboard.xlsx]Age!PivotTable17</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Premium By 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5"/>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5"/>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5"/>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Age!$B$3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5"/>
              </a:solidFill>
              <a:ln w="9525">
                <a:solidFill>
                  <a:schemeClr val="accent1"/>
                </a:solidFill>
                <a:round/>
              </a:ln>
              <a:effectLst>
                <a:outerShdw blurRad="57150" dist="19050" dir="5400000" algn="ctr" rotWithShape="0">
                  <a:srgbClr val="000000">
                    <a:alpha val="63000"/>
                  </a:srgbClr>
                </a:outerShdw>
              </a:effectLst>
            </c:spPr>
          </c:marker>
          <c:cat>
            <c:strRef>
              <c:f>Age!$A$4:$A$14</c:f>
              <c:strCache>
                <c:ptCount val="10"/>
                <c:pt idx="0">
                  <c:v>18 - 23</c:v>
                </c:pt>
                <c:pt idx="1">
                  <c:v>23 - 28</c:v>
                </c:pt>
                <c:pt idx="2">
                  <c:v>28 - 33</c:v>
                </c:pt>
                <c:pt idx="3">
                  <c:v>33 - 38</c:v>
                </c:pt>
                <c:pt idx="4">
                  <c:v>38 - 43</c:v>
                </c:pt>
                <c:pt idx="5">
                  <c:v>43 - 48</c:v>
                </c:pt>
                <c:pt idx="6">
                  <c:v>48 - 53</c:v>
                </c:pt>
                <c:pt idx="7">
                  <c:v>53 - 58</c:v>
                </c:pt>
                <c:pt idx="8">
                  <c:v>58 - 63</c:v>
                </c:pt>
                <c:pt idx="9">
                  <c:v>63 - 68</c:v>
                </c:pt>
              </c:strCache>
            </c:strRef>
          </c:cat>
          <c:val>
            <c:numRef>
              <c:f>Age!$B$4:$B$14</c:f>
              <c:numCache>
                <c:formatCode>_-* #,##0_-;\-* #,##0_-;_-* "-"??_-;_-@_-</c:formatCode>
                <c:ptCount val="10"/>
                <c:pt idx="0">
                  <c:v>501.56666666666655</c:v>
                </c:pt>
                <c:pt idx="1">
                  <c:v>499.07833333333321</c:v>
                </c:pt>
                <c:pt idx="2">
                  <c:v>496.74736842105261</c:v>
                </c:pt>
                <c:pt idx="3">
                  <c:v>495.4882978723403</c:v>
                </c:pt>
                <c:pt idx="4">
                  <c:v>493.36507936507968</c:v>
                </c:pt>
                <c:pt idx="5">
                  <c:v>491.38088235294123</c:v>
                </c:pt>
                <c:pt idx="6">
                  <c:v>490.62933884297541</c:v>
                </c:pt>
                <c:pt idx="7">
                  <c:v>489.08267326732681</c:v>
                </c:pt>
                <c:pt idx="8">
                  <c:v>487.28977272727292</c:v>
                </c:pt>
                <c:pt idx="9">
                  <c:v>487.85312499999992</c:v>
                </c:pt>
              </c:numCache>
            </c:numRef>
          </c:val>
          <c:smooth val="0"/>
          <c:extLst>
            <c:ext xmlns:c16="http://schemas.microsoft.com/office/drawing/2014/chart" uri="{C3380CC4-5D6E-409C-BE32-E72D297353CC}">
              <c16:uniqueId val="{00000000-1E6A-4849-A5D6-549E8A488CAB}"/>
            </c:ext>
          </c:extLst>
        </c:ser>
        <c:dLbls>
          <c:showLegendKey val="0"/>
          <c:showVal val="0"/>
          <c:showCatName val="0"/>
          <c:showSerName val="0"/>
          <c:showPercent val="0"/>
          <c:showBubbleSize val="0"/>
        </c:dLbls>
        <c:marker val="1"/>
        <c:smooth val="0"/>
        <c:axId val="436305215"/>
        <c:axId val="436305695"/>
      </c:lineChart>
      <c:catAx>
        <c:axId val="43630521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b="1"/>
                  <a:t>Driver's 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6305695"/>
        <c:crosses val="autoZero"/>
        <c:auto val="1"/>
        <c:lblAlgn val="ctr"/>
        <c:lblOffset val="100"/>
        <c:noMultiLvlLbl val="0"/>
      </c:catAx>
      <c:valAx>
        <c:axId val="43630569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b="1"/>
                  <a:t>Amount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630521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Insurance Dashboard.xlsx]Experience!PivotTable18</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Premium by Driver's Experience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5">
              <a:lumMod val="75000"/>
            </a:schemeClr>
          </a:soli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Experience!$B$3</c:f>
              <c:strCache>
                <c:ptCount val="1"/>
                <c:pt idx="0">
                  <c:v>Total</c:v>
                </c:pt>
              </c:strCache>
            </c:strRef>
          </c:tx>
          <c:spPr>
            <a:solidFill>
              <a:schemeClr val="accent5">
                <a:lumMod val="75000"/>
              </a:schemeClr>
            </a:solidFill>
            <a:ln>
              <a:noFill/>
            </a:ln>
            <a:effectLst/>
            <a:sp3d/>
          </c:spPr>
          <c:invertIfNegative val="0"/>
          <c:cat>
            <c:strRef>
              <c:f>Experience!$A$4:$A$12</c:f>
              <c:strCache>
                <c:ptCount val="8"/>
                <c:pt idx="0">
                  <c:v>0 - 5</c:v>
                </c:pt>
                <c:pt idx="1">
                  <c:v>5 - 10</c:v>
                </c:pt>
                <c:pt idx="2">
                  <c:v>10 - 15</c:v>
                </c:pt>
                <c:pt idx="3">
                  <c:v>15 - 20</c:v>
                </c:pt>
                <c:pt idx="4">
                  <c:v>20 - 25</c:v>
                </c:pt>
                <c:pt idx="5">
                  <c:v>25 - 30</c:v>
                </c:pt>
                <c:pt idx="6">
                  <c:v>30 - 35</c:v>
                </c:pt>
                <c:pt idx="7">
                  <c:v>35 - 40</c:v>
                </c:pt>
              </c:strCache>
            </c:strRef>
          </c:cat>
          <c:val>
            <c:numRef>
              <c:f>Experience!$B$4:$B$12</c:f>
              <c:numCache>
                <c:formatCode>_-* #,##0_-;\-* #,##0_-;_-* "-"??_-;_-@_-</c:formatCode>
                <c:ptCount val="8"/>
                <c:pt idx="0">
                  <c:v>499.37177419354833</c:v>
                </c:pt>
                <c:pt idx="1">
                  <c:v>496.42812500000008</c:v>
                </c:pt>
                <c:pt idx="2">
                  <c:v>494.80617283950613</c:v>
                </c:pt>
                <c:pt idx="3">
                  <c:v>492.43130081300819</c:v>
                </c:pt>
                <c:pt idx="4">
                  <c:v>490.13560000000018</c:v>
                </c:pt>
                <c:pt idx="5">
                  <c:v>487.46829268292686</c:v>
                </c:pt>
                <c:pt idx="6">
                  <c:v>485.9708955223881</c:v>
                </c:pt>
                <c:pt idx="7">
                  <c:v>483.10606060606057</c:v>
                </c:pt>
              </c:numCache>
            </c:numRef>
          </c:val>
          <c:extLst>
            <c:ext xmlns:c16="http://schemas.microsoft.com/office/drawing/2014/chart" uri="{C3380CC4-5D6E-409C-BE32-E72D297353CC}">
              <c16:uniqueId val="{00000000-86FE-4FE7-9AAC-41F8238E4759}"/>
            </c:ext>
          </c:extLst>
        </c:ser>
        <c:dLbls>
          <c:showLegendKey val="0"/>
          <c:showVal val="0"/>
          <c:showCatName val="0"/>
          <c:showSerName val="0"/>
          <c:showPercent val="0"/>
          <c:showBubbleSize val="0"/>
        </c:dLbls>
        <c:gapWidth val="150"/>
        <c:shape val="box"/>
        <c:axId val="1297431247"/>
        <c:axId val="1297431727"/>
        <c:axId val="0"/>
      </c:bar3DChart>
      <c:catAx>
        <c:axId val="129743124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Driver's Experience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97431727"/>
        <c:crosses val="autoZero"/>
        <c:auto val="1"/>
        <c:lblAlgn val="ctr"/>
        <c:lblOffset val="100"/>
        <c:noMultiLvlLbl val="0"/>
      </c:catAx>
      <c:valAx>
        <c:axId val="129743172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Premium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9743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Insurance Dashboard.xlsx]Annual Milleage!PivotTable20</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Premium By Annual Milleage (x1000 km)</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8"/>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'Annual Milleage'!$B$3</c:f>
              <c:strCache>
                <c:ptCount val="1"/>
                <c:pt idx="0">
                  <c:v>Total</c:v>
                </c:pt>
              </c:strCache>
            </c:strRef>
          </c:tx>
          <c:explosion val="3"/>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400E-452E-8A40-1A64B41E027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400E-452E-8A40-1A64B41E027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400E-452E-8A40-1A64B41E027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400E-452E-8A40-1A64B41E027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400E-452E-8A40-1A64B41E027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B-400E-452E-8A40-1A64B41E027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D-400E-452E-8A40-1A64B41E027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F-400E-452E-8A40-1A64B41E027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1-400E-452E-8A40-1A64B41E027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3-400E-452E-8A40-1A64B41E0275}"/>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5-400E-452E-8A40-1A64B41E0275}"/>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7-400E-452E-8A40-1A64B41E0275}"/>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19-400E-452E-8A40-1A64B41E0275}"/>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1B-400E-452E-8A40-1A64B41E0275}"/>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1D-400E-452E-8A40-1A64B41E02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'Annual Milleage'!$A$4:$A$8</c:f>
              <c:strCache>
                <c:ptCount val="4"/>
                <c:pt idx="0">
                  <c:v>15 - 19</c:v>
                </c:pt>
                <c:pt idx="1">
                  <c:v>19 - 23</c:v>
                </c:pt>
                <c:pt idx="2">
                  <c:v>11 - 15</c:v>
                </c:pt>
                <c:pt idx="3">
                  <c:v>23 - 27</c:v>
                </c:pt>
              </c:strCache>
            </c:strRef>
          </c:cat>
          <c:val>
            <c:numRef>
              <c:f>'Annual Milleage'!$B$4:$B$8</c:f>
              <c:numCache>
                <c:formatCode>_-* #,##0_-;\-* #,##0_-;_-* "-"??_-;_-@_-</c:formatCode>
                <c:ptCount val="4"/>
                <c:pt idx="0">
                  <c:v>493.86480769230758</c:v>
                </c:pt>
                <c:pt idx="1">
                  <c:v>493.45454545454567</c:v>
                </c:pt>
                <c:pt idx="2">
                  <c:v>493.62962962962939</c:v>
                </c:pt>
                <c:pt idx="3">
                  <c:v>494.33382352941175</c:v>
                </c:pt>
              </c:numCache>
            </c:numRef>
          </c:val>
          <c:extLst>
            <c:ext xmlns:c16="http://schemas.microsoft.com/office/drawing/2014/chart" uri="{C3380CC4-5D6E-409C-BE32-E72D297353CC}">
              <c16:uniqueId val="{0000001E-400E-452E-8A40-1A64B41E0275}"/>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Insurance Dashboard.xlsx]Car Age!PivotTable21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Premium By Car 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circle"/>
          <c:size val="5"/>
          <c:spPr>
            <a:solidFill>
              <a:schemeClr val="accent5">
                <a:lumMod val="75000"/>
              </a:schemeClr>
            </a:soli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'Car Age'!$B$3</c:f>
              <c:strCache>
                <c:ptCount val="1"/>
                <c:pt idx="0">
                  <c:v>Total</c:v>
                </c:pt>
              </c:strCache>
            </c:strRef>
          </c:tx>
          <c:spPr>
            <a:solidFill>
              <a:schemeClr val="accent5">
                <a:lumMod val="75000"/>
              </a:schemeClr>
            </a:solidFill>
            <a:ln>
              <a:noFill/>
            </a:ln>
            <a:effectLst/>
          </c:spPr>
          <c:cat>
            <c:strRef>
              <c:f>'Car Age'!$A$4:$A$11</c:f>
              <c:strCache>
                <c:ptCount val="7"/>
                <c:pt idx="0">
                  <c:v>30 - 35</c:v>
                </c:pt>
                <c:pt idx="1">
                  <c:v>25 - 30</c:v>
                </c:pt>
                <c:pt idx="2">
                  <c:v>15 - 20</c:v>
                </c:pt>
                <c:pt idx="3">
                  <c:v>20 - 25</c:v>
                </c:pt>
                <c:pt idx="4">
                  <c:v>10 - 15</c:v>
                </c:pt>
                <c:pt idx="5">
                  <c:v>5 - 10</c:v>
                </c:pt>
                <c:pt idx="6">
                  <c:v>0 - 5</c:v>
                </c:pt>
              </c:strCache>
            </c:strRef>
          </c:cat>
          <c:val>
            <c:numRef>
              <c:f>'Car Age'!$B$4:$B$11</c:f>
              <c:numCache>
                <c:formatCode>_-* #,##0_-;\-* #,##0_-;_-* "-"??_-;_-@_-</c:formatCode>
                <c:ptCount val="7"/>
                <c:pt idx="0">
                  <c:v>495.6258865248227</c:v>
                </c:pt>
                <c:pt idx="1">
                  <c:v>494.59210526315809</c:v>
                </c:pt>
                <c:pt idx="2">
                  <c:v>494.14225352112663</c:v>
                </c:pt>
                <c:pt idx="3">
                  <c:v>493.74274809160306</c:v>
                </c:pt>
                <c:pt idx="4">
                  <c:v>493.42500000000018</c:v>
                </c:pt>
                <c:pt idx="5">
                  <c:v>492.53051948051956</c:v>
                </c:pt>
                <c:pt idx="6">
                  <c:v>492.45628930817583</c:v>
                </c:pt>
              </c:numCache>
            </c:numRef>
          </c:val>
          <c:extLst>
            <c:ext xmlns:c16="http://schemas.microsoft.com/office/drawing/2014/chart" uri="{C3380CC4-5D6E-409C-BE32-E72D297353CC}">
              <c16:uniqueId val="{00000000-478D-4A2A-8BC5-BE85C32B738E}"/>
            </c:ext>
          </c:extLst>
        </c:ser>
        <c:dLbls>
          <c:showLegendKey val="0"/>
          <c:showVal val="0"/>
          <c:showCatName val="0"/>
          <c:showSerName val="0"/>
          <c:showPercent val="0"/>
          <c:showBubbleSize val="0"/>
        </c:dLbls>
        <c:axId val="568943487"/>
        <c:axId val="568939647"/>
      </c:areaChart>
      <c:catAx>
        <c:axId val="56894348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Car 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8939647"/>
        <c:crosses val="autoZero"/>
        <c:auto val="1"/>
        <c:lblAlgn val="ctr"/>
        <c:lblOffset val="100"/>
        <c:noMultiLvlLbl val="0"/>
      </c:catAx>
      <c:valAx>
        <c:axId val="56893964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Premium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89434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Insurance Dashboard.xlsx]Previous Accident!PivotTable19</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Premium By Previous Accident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5">
              <a:lumMod val="75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'Previous Accident'!$B$3</c:f>
              <c:strCache>
                <c:ptCount val="1"/>
                <c:pt idx="0">
                  <c:v>Total</c:v>
                </c:pt>
              </c:strCache>
            </c:strRef>
          </c:tx>
          <c:spPr>
            <a:solidFill>
              <a:schemeClr val="accent5">
                <a:lumMod val="75000"/>
              </a:schemeClr>
            </a:solidFill>
            <a:ln>
              <a:noFill/>
            </a:ln>
            <a:effectLst>
              <a:outerShdw blurRad="57150" dist="19050" dir="5400000" algn="ctr" rotWithShape="0">
                <a:srgbClr val="000000">
                  <a:alpha val="63000"/>
                </a:srgbClr>
              </a:outerShdw>
            </a:effectLst>
          </c:spPr>
          <c:invertIfNegative val="0"/>
          <c:cat>
            <c:strRef>
              <c:f>'Previous Accident'!$A$4:$A$10</c:f>
              <c:strCache>
                <c:ptCount val="6"/>
                <c:pt idx="0">
                  <c:v>0</c:v>
                </c:pt>
                <c:pt idx="1">
                  <c:v>1</c:v>
                </c:pt>
                <c:pt idx="2">
                  <c:v>2</c:v>
                </c:pt>
                <c:pt idx="3">
                  <c:v>3</c:v>
                </c:pt>
                <c:pt idx="4">
                  <c:v>4</c:v>
                </c:pt>
                <c:pt idx="5">
                  <c:v>5</c:v>
                </c:pt>
              </c:strCache>
            </c:strRef>
          </c:cat>
          <c:val>
            <c:numRef>
              <c:f>'Previous Accident'!$B$4:$B$10</c:f>
              <c:numCache>
                <c:formatCode>_-* #,##0_-;\-* #,##0_-;_-* "-"??_-;_-@_-</c:formatCode>
                <c:ptCount val="6"/>
                <c:pt idx="0">
                  <c:v>489.98409090909075</c:v>
                </c:pt>
                <c:pt idx="1">
                  <c:v>491.95409356725145</c:v>
                </c:pt>
                <c:pt idx="2">
                  <c:v>492.26944444444456</c:v>
                </c:pt>
                <c:pt idx="3">
                  <c:v>494.53567567567558</c:v>
                </c:pt>
                <c:pt idx="4">
                  <c:v>495.67073863636398</c:v>
                </c:pt>
                <c:pt idx="5">
                  <c:v>497.3329411764708</c:v>
                </c:pt>
              </c:numCache>
            </c:numRef>
          </c:val>
          <c:extLst>
            <c:ext xmlns:c16="http://schemas.microsoft.com/office/drawing/2014/chart" uri="{C3380CC4-5D6E-409C-BE32-E72D297353CC}">
              <c16:uniqueId val="{00000000-C41E-4D62-961E-78240901DEFE}"/>
            </c:ext>
          </c:extLst>
        </c:ser>
        <c:dLbls>
          <c:showLegendKey val="0"/>
          <c:showVal val="0"/>
          <c:showCatName val="0"/>
          <c:showSerName val="0"/>
          <c:showPercent val="0"/>
          <c:showBubbleSize val="0"/>
        </c:dLbls>
        <c:gapWidth val="115"/>
        <c:overlap val="-20"/>
        <c:axId val="1297441807"/>
        <c:axId val="1297435087"/>
      </c:barChart>
      <c:catAx>
        <c:axId val="129744180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b="1"/>
                  <a:t>Previous Accident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97435087"/>
        <c:crosses val="autoZero"/>
        <c:auto val="1"/>
        <c:lblAlgn val="ctr"/>
        <c:lblOffset val="100"/>
        <c:noMultiLvlLbl val="0"/>
      </c:catAx>
      <c:valAx>
        <c:axId val="129743508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b="1"/>
                  <a:t>Premium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9744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Insurance Dashboard.xlsx]Age!PivotTable17</c:name>
    <c:fmtId val="0"/>
  </c:pivotSource>
  <c:chart>
    <c:title>
      <c:tx>
        <c:rich>
          <a:bodyPr rot="0" spcFirstLastPara="1" vertOverflow="ellipsis" vert="horz" wrap="square" anchor="ctr" anchorCtr="1"/>
          <a:lstStyle/>
          <a:p>
            <a:pPr>
              <a:defRPr sz="1600" b="1" i="0" u="none" strike="noStrike" kern="1200" baseline="0">
                <a:solidFill>
                  <a:schemeClr val="tx2">
                    <a:lumMod val="75000"/>
                    <a:lumOff val="25000"/>
                  </a:schemeClr>
                </a:solidFill>
                <a:latin typeface="+mn-lt"/>
                <a:ea typeface="+mn-ea"/>
                <a:cs typeface="+mn-cs"/>
              </a:defRPr>
            </a:pPr>
            <a:r>
              <a:rPr lang="en-US"/>
              <a:t>Average Premium By 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75000"/>
                  <a:lumOff val="2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5"/>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Age!$B$3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5"/>
              </a:solidFill>
              <a:ln w="9525">
                <a:solidFill>
                  <a:schemeClr val="accent1"/>
                </a:solidFill>
                <a:round/>
              </a:ln>
              <a:effectLst>
                <a:outerShdw blurRad="57150" dist="19050" dir="5400000" algn="ctr" rotWithShape="0">
                  <a:srgbClr val="000000">
                    <a:alpha val="63000"/>
                  </a:srgbClr>
                </a:outerShdw>
              </a:effectLst>
            </c:spPr>
          </c:marker>
          <c:cat>
            <c:strRef>
              <c:f>Age!$A$4:$A$14</c:f>
              <c:strCache>
                <c:ptCount val="10"/>
                <c:pt idx="0">
                  <c:v>18 - 23</c:v>
                </c:pt>
                <c:pt idx="1">
                  <c:v>23 - 28</c:v>
                </c:pt>
                <c:pt idx="2">
                  <c:v>28 - 33</c:v>
                </c:pt>
                <c:pt idx="3">
                  <c:v>33 - 38</c:v>
                </c:pt>
                <c:pt idx="4">
                  <c:v>38 - 43</c:v>
                </c:pt>
                <c:pt idx="5">
                  <c:v>43 - 48</c:v>
                </c:pt>
                <c:pt idx="6">
                  <c:v>48 - 53</c:v>
                </c:pt>
                <c:pt idx="7">
                  <c:v>53 - 58</c:v>
                </c:pt>
                <c:pt idx="8">
                  <c:v>58 - 63</c:v>
                </c:pt>
                <c:pt idx="9">
                  <c:v>63 - 68</c:v>
                </c:pt>
              </c:strCache>
            </c:strRef>
          </c:cat>
          <c:val>
            <c:numRef>
              <c:f>Age!$B$4:$B$14</c:f>
              <c:numCache>
                <c:formatCode>_-* #,##0_-;\-* #,##0_-;_-* "-"??_-;_-@_-</c:formatCode>
                <c:ptCount val="10"/>
                <c:pt idx="0">
                  <c:v>501.56666666666655</c:v>
                </c:pt>
                <c:pt idx="1">
                  <c:v>499.07833333333321</c:v>
                </c:pt>
                <c:pt idx="2">
                  <c:v>496.74736842105261</c:v>
                </c:pt>
                <c:pt idx="3">
                  <c:v>495.4882978723403</c:v>
                </c:pt>
                <c:pt idx="4">
                  <c:v>493.36507936507968</c:v>
                </c:pt>
                <c:pt idx="5">
                  <c:v>491.38088235294123</c:v>
                </c:pt>
                <c:pt idx="6">
                  <c:v>490.62933884297541</c:v>
                </c:pt>
                <c:pt idx="7">
                  <c:v>489.08267326732681</c:v>
                </c:pt>
                <c:pt idx="8">
                  <c:v>487.28977272727292</c:v>
                </c:pt>
                <c:pt idx="9">
                  <c:v>487.85312499999992</c:v>
                </c:pt>
              </c:numCache>
            </c:numRef>
          </c:val>
          <c:smooth val="0"/>
          <c:extLst>
            <c:ext xmlns:c16="http://schemas.microsoft.com/office/drawing/2014/chart" uri="{C3380CC4-5D6E-409C-BE32-E72D297353CC}">
              <c16:uniqueId val="{00000000-A62F-419D-B489-9016876A37E1}"/>
            </c:ext>
          </c:extLst>
        </c:ser>
        <c:dLbls>
          <c:showLegendKey val="0"/>
          <c:showVal val="0"/>
          <c:showCatName val="0"/>
          <c:showSerName val="0"/>
          <c:showPercent val="0"/>
          <c:showBubbleSize val="0"/>
        </c:dLbls>
        <c:marker val="1"/>
        <c:smooth val="0"/>
        <c:axId val="436305215"/>
        <c:axId val="436305695"/>
      </c:lineChart>
      <c:catAx>
        <c:axId val="43630521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2">
                        <a:lumMod val="75000"/>
                        <a:lumOff val="25000"/>
                      </a:schemeClr>
                    </a:solidFill>
                    <a:latin typeface="+mn-lt"/>
                    <a:ea typeface="+mn-ea"/>
                    <a:cs typeface="+mn-cs"/>
                  </a:defRPr>
                </a:pPr>
                <a:r>
                  <a:rPr lang="en-GB"/>
                  <a:t>Driver's Age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2">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75000"/>
                    <a:lumOff val="25000"/>
                  </a:schemeClr>
                </a:solidFill>
                <a:latin typeface="+mn-lt"/>
                <a:ea typeface="+mn-ea"/>
                <a:cs typeface="+mn-cs"/>
              </a:defRPr>
            </a:pPr>
            <a:endParaRPr lang="en-US"/>
          </a:p>
        </c:txPr>
        <c:crossAx val="436305695"/>
        <c:crosses val="autoZero"/>
        <c:auto val="1"/>
        <c:lblAlgn val="ctr"/>
        <c:lblOffset val="100"/>
        <c:noMultiLvlLbl val="0"/>
      </c:catAx>
      <c:valAx>
        <c:axId val="436305695"/>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2">
                        <a:lumMod val="75000"/>
                        <a:lumOff val="25000"/>
                      </a:schemeClr>
                    </a:solidFill>
                    <a:latin typeface="+mn-lt"/>
                    <a:ea typeface="+mn-ea"/>
                    <a:cs typeface="+mn-cs"/>
                  </a:defRPr>
                </a:pPr>
                <a:r>
                  <a:rPr lang="en-GB"/>
                  <a:t>Amount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2">
                      <a:lumMod val="75000"/>
                      <a:lumOff val="2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75000"/>
                    <a:lumOff val="25000"/>
                  </a:schemeClr>
                </a:solidFill>
                <a:latin typeface="+mn-lt"/>
                <a:ea typeface="+mn-ea"/>
                <a:cs typeface="+mn-cs"/>
              </a:defRPr>
            </a:pPr>
            <a:endParaRPr lang="en-US"/>
          </a:p>
        </c:txPr>
        <c:crossAx val="43630521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2">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Insurance Dashboard.xlsx]Experience!PivotTable18</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Premium by Driver's Experience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Experience!$B$3</c:f>
              <c:strCache>
                <c:ptCount val="1"/>
                <c:pt idx="0">
                  <c:v>Total</c:v>
                </c:pt>
              </c:strCache>
            </c:strRef>
          </c:tx>
          <c:spPr>
            <a:solidFill>
              <a:schemeClr val="accent5">
                <a:lumMod val="75000"/>
              </a:schemeClr>
            </a:solidFill>
            <a:ln>
              <a:noFill/>
            </a:ln>
            <a:effectLst/>
            <a:sp3d/>
          </c:spPr>
          <c:invertIfNegative val="0"/>
          <c:cat>
            <c:strRef>
              <c:f>Experience!$A$4:$A$12</c:f>
              <c:strCache>
                <c:ptCount val="8"/>
                <c:pt idx="0">
                  <c:v>0 - 5</c:v>
                </c:pt>
                <c:pt idx="1">
                  <c:v>5 - 10</c:v>
                </c:pt>
                <c:pt idx="2">
                  <c:v>10 - 15</c:v>
                </c:pt>
                <c:pt idx="3">
                  <c:v>15 - 20</c:v>
                </c:pt>
                <c:pt idx="4">
                  <c:v>20 - 25</c:v>
                </c:pt>
                <c:pt idx="5">
                  <c:v>25 - 30</c:v>
                </c:pt>
                <c:pt idx="6">
                  <c:v>30 - 35</c:v>
                </c:pt>
                <c:pt idx="7">
                  <c:v>35 - 40</c:v>
                </c:pt>
              </c:strCache>
            </c:strRef>
          </c:cat>
          <c:val>
            <c:numRef>
              <c:f>Experience!$B$4:$B$12</c:f>
              <c:numCache>
                <c:formatCode>_-* #,##0_-;\-* #,##0_-;_-* "-"??_-;_-@_-</c:formatCode>
                <c:ptCount val="8"/>
                <c:pt idx="0">
                  <c:v>499.37177419354833</c:v>
                </c:pt>
                <c:pt idx="1">
                  <c:v>496.42812500000008</c:v>
                </c:pt>
                <c:pt idx="2">
                  <c:v>494.80617283950613</c:v>
                </c:pt>
                <c:pt idx="3">
                  <c:v>492.43130081300819</c:v>
                </c:pt>
                <c:pt idx="4">
                  <c:v>490.13560000000018</c:v>
                </c:pt>
                <c:pt idx="5">
                  <c:v>487.46829268292686</c:v>
                </c:pt>
                <c:pt idx="6">
                  <c:v>485.9708955223881</c:v>
                </c:pt>
                <c:pt idx="7">
                  <c:v>483.10606060606057</c:v>
                </c:pt>
              </c:numCache>
            </c:numRef>
          </c:val>
          <c:extLst>
            <c:ext xmlns:c16="http://schemas.microsoft.com/office/drawing/2014/chart" uri="{C3380CC4-5D6E-409C-BE32-E72D297353CC}">
              <c16:uniqueId val="{00000000-3575-470D-9FD9-44DDE9E24A7B}"/>
            </c:ext>
          </c:extLst>
        </c:ser>
        <c:dLbls>
          <c:showLegendKey val="0"/>
          <c:showVal val="0"/>
          <c:showCatName val="0"/>
          <c:showSerName val="0"/>
          <c:showPercent val="0"/>
          <c:showBubbleSize val="0"/>
        </c:dLbls>
        <c:gapWidth val="150"/>
        <c:shape val="box"/>
        <c:axId val="1297431247"/>
        <c:axId val="1297431727"/>
        <c:axId val="0"/>
      </c:bar3DChart>
      <c:catAx>
        <c:axId val="129743124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Driver's Experience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97431727"/>
        <c:crosses val="autoZero"/>
        <c:auto val="1"/>
        <c:lblAlgn val="ctr"/>
        <c:lblOffset val="100"/>
        <c:noMultiLvlLbl val="0"/>
      </c:catAx>
      <c:valAx>
        <c:axId val="129743172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Premium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9743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Insurance Dashboard.xlsx]Previous Accident!PivotTable19</c:name>
    <c:fmtId val="9"/>
  </c:pivotSource>
  <c:chart>
    <c:title>
      <c:tx>
        <c:rich>
          <a:bodyPr rot="0" spcFirstLastPara="1" vertOverflow="ellipsis" vert="horz" wrap="square" anchor="ctr" anchorCtr="1"/>
          <a:lstStyle/>
          <a:p>
            <a:pPr>
              <a:defRPr sz="1600" b="1" i="0" u="none" strike="noStrike" kern="1200" baseline="0">
                <a:solidFill>
                  <a:schemeClr val="tx2">
                    <a:lumMod val="75000"/>
                    <a:lumOff val="25000"/>
                  </a:schemeClr>
                </a:solidFill>
                <a:latin typeface="+mn-lt"/>
                <a:ea typeface="+mn-ea"/>
                <a:cs typeface="+mn-cs"/>
              </a:defRPr>
            </a:pPr>
            <a:r>
              <a:rPr lang="en-US"/>
              <a:t>Average Premium By Previous Accident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75000"/>
                  <a:lumOff val="2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'Previous Accident'!$B$3</c:f>
              <c:strCache>
                <c:ptCount val="1"/>
                <c:pt idx="0">
                  <c:v>Total</c:v>
                </c:pt>
              </c:strCache>
            </c:strRef>
          </c:tx>
          <c:spPr>
            <a:solidFill>
              <a:schemeClr val="accent5">
                <a:lumMod val="75000"/>
              </a:schemeClr>
            </a:solidFill>
            <a:ln>
              <a:noFill/>
            </a:ln>
            <a:effectLst>
              <a:outerShdw blurRad="57150" dist="19050" dir="5400000" algn="ctr" rotWithShape="0">
                <a:srgbClr val="000000">
                  <a:alpha val="63000"/>
                </a:srgbClr>
              </a:outerShdw>
            </a:effectLst>
          </c:spPr>
          <c:invertIfNegative val="0"/>
          <c:cat>
            <c:strRef>
              <c:f>'Previous Accident'!$A$4:$A$10</c:f>
              <c:strCache>
                <c:ptCount val="6"/>
                <c:pt idx="0">
                  <c:v>0</c:v>
                </c:pt>
                <c:pt idx="1">
                  <c:v>1</c:v>
                </c:pt>
                <c:pt idx="2">
                  <c:v>2</c:v>
                </c:pt>
                <c:pt idx="3">
                  <c:v>3</c:v>
                </c:pt>
                <c:pt idx="4">
                  <c:v>4</c:v>
                </c:pt>
                <c:pt idx="5">
                  <c:v>5</c:v>
                </c:pt>
              </c:strCache>
            </c:strRef>
          </c:cat>
          <c:val>
            <c:numRef>
              <c:f>'Previous Accident'!$B$4:$B$10</c:f>
              <c:numCache>
                <c:formatCode>_-* #,##0_-;\-* #,##0_-;_-* "-"??_-;_-@_-</c:formatCode>
                <c:ptCount val="6"/>
                <c:pt idx="0">
                  <c:v>489.98409090909075</c:v>
                </c:pt>
                <c:pt idx="1">
                  <c:v>491.95409356725145</c:v>
                </c:pt>
                <c:pt idx="2">
                  <c:v>492.26944444444456</c:v>
                </c:pt>
                <c:pt idx="3">
                  <c:v>494.53567567567558</c:v>
                </c:pt>
                <c:pt idx="4">
                  <c:v>495.67073863636398</c:v>
                </c:pt>
                <c:pt idx="5">
                  <c:v>497.3329411764708</c:v>
                </c:pt>
              </c:numCache>
            </c:numRef>
          </c:val>
          <c:extLst>
            <c:ext xmlns:c16="http://schemas.microsoft.com/office/drawing/2014/chart" uri="{C3380CC4-5D6E-409C-BE32-E72D297353CC}">
              <c16:uniqueId val="{00000000-5AC4-4A35-8072-F5D316D7FEE8}"/>
            </c:ext>
          </c:extLst>
        </c:ser>
        <c:dLbls>
          <c:showLegendKey val="0"/>
          <c:showVal val="0"/>
          <c:showCatName val="0"/>
          <c:showSerName val="0"/>
          <c:showPercent val="0"/>
          <c:showBubbleSize val="0"/>
        </c:dLbls>
        <c:gapWidth val="115"/>
        <c:overlap val="-20"/>
        <c:axId val="1297441807"/>
        <c:axId val="1297435087"/>
      </c:barChart>
      <c:catAx>
        <c:axId val="129744180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lumMod val="75000"/>
                        <a:lumOff val="25000"/>
                      </a:schemeClr>
                    </a:solidFill>
                    <a:latin typeface="+mn-lt"/>
                    <a:ea typeface="+mn-ea"/>
                    <a:cs typeface="+mn-cs"/>
                  </a:defRPr>
                </a:pPr>
                <a:r>
                  <a:rPr lang="en-GB" b="1"/>
                  <a:t>Previous Accident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75000"/>
                    <a:lumOff val="25000"/>
                  </a:schemeClr>
                </a:solidFill>
                <a:latin typeface="+mn-lt"/>
                <a:ea typeface="+mn-ea"/>
                <a:cs typeface="+mn-cs"/>
              </a:defRPr>
            </a:pPr>
            <a:endParaRPr lang="en-US"/>
          </a:p>
        </c:txPr>
        <c:crossAx val="1297435087"/>
        <c:crosses val="autoZero"/>
        <c:auto val="1"/>
        <c:lblAlgn val="ctr"/>
        <c:lblOffset val="100"/>
        <c:noMultiLvlLbl val="0"/>
      </c:catAx>
      <c:valAx>
        <c:axId val="129743508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lumMod val="75000"/>
                        <a:lumOff val="25000"/>
                      </a:schemeClr>
                    </a:solidFill>
                    <a:latin typeface="+mn-lt"/>
                    <a:ea typeface="+mn-ea"/>
                    <a:cs typeface="+mn-cs"/>
                  </a:defRPr>
                </a:pPr>
                <a:r>
                  <a:rPr lang="en-GB" b="1"/>
                  <a:t>Premium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lumMod val="75000"/>
                      <a:lumOff val="2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75000"/>
                    <a:lumOff val="25000"/>
                  </a:schemeClr>
                </a:solidFill>
                <a:latin typeface="+mn-lt"/>
                <a:ea typeface="+mn-ea"/>
                <a:cs typeface="+mn-cs"/>
              </a:defRPr>
            </a:pPr>
            <a:endParaRPr lang="en-US"/>
          </a:p>
        </c:txPr>
        <c:crossAx val="129744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2">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Insurance Dashboard.xlsx]Annual Milleage!PivotTable20</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Premium By Annual Milleage (x1000 km)</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'Annual Milleage'!$B$3</c:f>
              <c:strCache>
                <c:ptCount val="1"/>
                <c:pt idx="0">
                  <c:v>Total</c:v>
                </c:pt>
              </c:strCache>
            </c:strRef>
          </c:tx>
          <c:explosion val="7"/>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F64A-4C5A-8CCC-C372E78345C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F64A-4C5A-8CCC-C372E78345C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F64A-4C5A-8CCC-C372E78345C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F64A-4C5A-8CCC-C372E78345C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F64A-4C5A-8CCC-C372E78345C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B-F64A-4C5A-8CCC-C372E78345C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D-F64A-4C5A-8CCC-C372E78345C9}"/>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F-F64A-4C5A-8CCC-C372E78345C9}"/>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1-F64A-4C5A-8CCC-C372E78345C9}"/>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3-F64A-4C5A-8CCC-C372E78345C9}"/>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5-F64A-4C5A-8CCC-C372E78345C9}"/>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7-F64A-4C5A-8CCC-C372E78345C9}"/>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19-F64A-4C5A-8CCC-C372E78345C9}"/>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1B-F64A-4C5A-8CCC-C372E78345C9}"/>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1D-F64A-4C5A-8CCC-C372E78345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'Annual Milleage'!$A$4:$A$8</c:f>
              <c:strCache>
                <c:ptCount val="4"/>
                <c:pt idx="0">
                  <c:v>15 - 19</c:v>
                </c:pt>
                <c:pt idx="1">
                  <c:v>19 - 23</c:v>
                </c:pt>
                <c:pt idx="2">
                  <c:v>11 - 15</c:v>
                </c:pt>
                <c:pt idx="3">
                  <c:v>23 - 27</c:v>
                </c:pt>
              </c:strCache>
            </c:strRef>
          </c:cat>
          <c:val>
            <c:numRef>
              <c:f>'Annual Milleage'!$B$4:$B$8</c:f>
              <c:numCache>
                <c:formatCode>_-* #,##0_-;\-* #,##0_-;_-* "-"??_-;_-@_-</c:formatCode>
                <c:ptCount val="4"/>
                <c:pt idx="0">
                  <c:v>493.86480769230758</c:v>
                </c:pt>
                <c:pt idx="1">
                  <c:v>493.45454545454567</c:v>
                </c:pt>
                <c:pt idx="2">
                  <c:v>493.62962962962939</c:v>
                </c:pt>
                <c:pt idx="3">
                  <c:v>494.33382352941175</c:v>
                </c:pt>
              </c:numCache>
            </c:numRef>
          </c:val>
          <c:extLst>
            <c:ext xmlns:c16="http://schemas.microsoft.com/office/drawing/2014/chart" uri="{C3380CC4-5D6E-409C-BE32-E72D297353CC}">
              <c16:uniqueId val="{00000000-BF72-4E90-8717-F4C2B473272E}"/>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Insurance Dashboard.xlsx]Car Age!PivotTable21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Premium By Car 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'Car Age'!$B$3</c:f>
              <c:strCache>
                <c:ptCount val="1"/>
                <c:pt idx="0">
                  <c:v>Total</c:v>
                </c:pt>
              </c:strCache>
            </c:strRef>
          </c:tx>
          <c:spPr>
            <a:solidFill>
              <a:schemeClr val="accent5">
                <a:lumMod val="75000"/>
              </a:schemeClr>
            </a:solidFill>
            <a:ln>
              <a:noFill/>
            </a:ln>
            <a:effectLst/>
          </c:spPr>
          <c:cat>
            <c:strRef>
              <c:f>'Car Age'!$A$4:$A$11</c:f>
              <c:strCache>
                <c:ptCount val="7"/>
                <c:pt idx="0">
                  <c:v>30 - 35</c:v>
                </c:pt>
                <c:pt idx="1">
                  <c:v>25 - 30</c:v>
                </c:pt>
                <c:pt idx="2">
                  <c:v>15 - 20</c:v>
                </c:pt>
                <c:pt idx="3">
                  <c:v>20 - 25</c:v>
                </c:pt>
                <c:pt idx="4">
                  <c:v>10 - 15</c:v>
                </c:pt>
                <c:pt idx="5">
                  <c:v>5 - 10</c:v>
                </c:pt>
                <c:pt idx="6">
                  <c:v>0 - 5</c:v>
                </c:pt>
              </c:strCache>
            </c:strRef>
          </c:cat>
          <c:val>
            <c:numRef>
              <c:f>'Car Age'!$B$4:$B$11</c:f>
              <c:numCache>
                <c:formatCode>_-* #,##0_-;\-* #,##0_-;_-* "-"??_-;_-@_-</c:formatCode>
                <c:ptCount val="7"/>
                <c:pt idx="0">
                  <c:v>495.6258865248227</c:v>
                </c:pt>
                <c:pt idx="1">
                  <c:v>494.59210526315809</c:v>
                </c:pt>
                <c:pt idx="2">
                  <c:v>494.14225352112663</c:v>
                </c:pt>
                <c:pt idx="3">
                  <c:v>493.74274809160306</c:v>
                </c:pt>
                <c:pt idx="4">
                  <c:v>493.42500000000018</c:v>
                </c:pt>
                <c:pt idx="5">
                  <c:v>492.53051948051956</c:v>
                </c:pt>
                <c:pt idx="6">
                  <c:v>492.45628930817583</c:v>
                </c:pt>
              </c:numCache>
            </c:numRef>
          </c:val>
          <c:extLst>
            <c:ext xmlns:c16="http://schemas.microsoft.com/office/drawing/2014/chart" uri="{C3380CC4-5D6E-409C-BE32-E72D297353CC}">
              <c16:uniqueId val="{00000000-7C6C-49FA-A0EE-5053AB7E57FF}"/>
            </c:ext>
          </c:extLst>
        </c:ser>
        <c:dLbls>
          <c:showLegendKey val="0"/>
          <c:showVal val="0"/>
          <c:showCatName val="0"/>
          <c:showSerName val="0"/>
          <c:showPercent val="0"/>
          <c:showBubbleSize val="0"/>
        </c:dLbls>
        <c:axId val="568943487"/>
        <c:axId val="568939647"/>
      </c:areaChart>
      <c:catAx>
        <c:axId val="56894348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Car 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8939647"/>
        <c:crosses val="autoZero"/>
        <c:auto val="1"/>
        <c:lblAlgn val="ctr"/>
        <c:lblOffset val="100"/>
        <c:noMultiLvlLbl val="0"/>
      </c:catAx>
      <c:valAx>
        <c:axId val="56893964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Premium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89434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19049</xdr:rowOff>
    </xdr:from>
    <xdr:to>
      <xdr:col>23</xdr:col>
      <xdr:colOff>590550</xdr:colOff>
      <xdr:row>3</xdr:row>
      <xdr:rowOff>76200</xdr:rowOff>
    </xdr:to>
    <xdr:sp macro="" textlink="">
      <xdr:nvSpPr>
        <xdr:cNvPr id="2" name="Rectangle: Rounded Corners 1">
          <a:extLst>
            <a:ext uri="{FF2B5EF4-FFF2-40B4-BE49-F238E27FC236}">
              <a16:creationId xmlns:a16="http://schemas.microsoft.com/office/drawing/2014/main" id="{D0A560EC-3CC3-BE0E-2713-4F907D2C99AB}"/>
            </a:ext>
          </a:extLst>
        </xdr:cNvPr>
        <xdr:cNvSpPr/>
      </xdr:nvSpPr>
      <xdr:spPr>
        <a:xfrm>
          <a:off x="19050" y="19049"/>
          <a:ext cx="14592300" cy="628651"/>
        </a:xfrm>
        <a:prstGeom prst="roundRect">
          <a:avLst/>
        </a:prstGeom>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GB" sz="3200"/>
            <a:t>CAR INSURANCE ANALYSIS DASHBOARD</a:t>
          </a:r>
          <a:endParaRPr lang="en-GB" sz="2800"/>
        </a:p>
      </xdr:txBody>
    </xdr:sp>
    <xdr:clientData/>
  </xdr:twoCellAnchor>
  <xdr:twoCellAnchor>
    <xdr:from>
      <xdr:col>0</xdr:col>
      <xdr:colOff>57150</xdr:colOff>
      <xdr:row>3</xdr:row>
      <xdr:rowOff>161925</xdr:rowOff>
    </xdr:from>
    <xdr:to>
      <xdr:col>3</xdr:col>
      <xdr:colOff>496350</xdr:colOff>
      <xdr:row>6</xdr:row>
      <xdr:rowOff>104774</xdr:rowOff>
    </xdr:to>
    <xdr:sp macro="" textlink="">
      <xdr:nvSpPr>
        <xdr:cNvPr id="5" name="Rectangle: Rounded Corners 4">
          <a:extLst>
            <a:ext uri="{FF2B5EF4-FFF2-40B4-BE49-F238E27FC236}">
              <a16:creationId xmlns:a16="http://schemas.microsoft.com/office/drawing/2014/main" id="{837A4B27-03C2-47F1-8E37-51F0B938F937}"/>
            </a:ext>
          </a:extLst>
        </xdr:cNvPr>
        <xdr:cNvSpPr/>
      </xdr:nvSpPr>
      <xdr:spPr>
        <a:xfrm>
          <a:off x="57150" y="733425"/>
          <a:ext cx="2268000" cy="514349"/>
        </a:xfrm>
        <a:prstGeom prst="roundRect">
          <a:avLst/>
        </a:prstGeom>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GB" sz="1600"/>
            <a:t>Number</a:t>
          </a:r>
          <a:r>
            <a:rPr lang="en-GB" sz="1600" baseline="0"/>
            <a:t> of Policy</a:t>
          </a:r>
          <a:endParaRPr lang="en-GB" sz="1600"/>
        </a:p>
      </xdr:txBody>
    </xdr:sp>
    <xdr:clientData/>
  </xdr:twoCellAnchor>
  <xdr:twoCellAnchor>
    <xdr:from>
      <xdr:col>1</xdr:col>
      <xdr:colOff>28575</xdr:colOff>
      <xdr:row>5</xdr:row>
      <xdr:rowOff>95249</xdr:rowOff>
    </xdr:from>
    <xdr:to>
      <xdr:col>2</xdr:col>
      <xdr:colOff>342900</xdr:colOff>
      <xdr:row>6</xdr:row>
      <xdr:rowOff>85724</xdr:rowOff>
    </xdr:to>
    <xdr:sp macro="" textlink="'Summary Statistics'!$A$16">
      <xdr:nvSpPr>
        <xdr:cNvPr id="8" name="TextBox 7">
          <a:extLst>
            <a:ext uri="{FF2B5EF4-FFF2-40B4-BE49-F238E27FC236}">
              <a16:creationId xmlns:a16="http://schemas.microsoft.com/office/drawing/2014/main" id="{343226AE-525B-902A-74E5-3893C2F1637E}"/>
            </a:ext>
          </a:extLst>
        </xdr:cNvPr>
        <xdr:cNvSpPr txBox="1"/>
      </xdr:nvSpPr>
      <xdr:spPr>
        <a:xfrm>
          <a:off x="638175" y="1047749"/>
          <a:ext cx="923925" cy="180975"/>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CBC5F3-D39A-41BE-A4A5-1259AEA9713B}" type="TxLink">
            <a:rPr lang="en-US" sz="1600" b="0" i="0" u="none" strike="noStrike">
              <a:solidFill>
                <a:schemeClr val="bg1"/>
              </a:solidFill>
              <a:latin typeface="Aptos Narrow"/>
            </a:rPr>
            <a:pPr algn="ctr"/>
            <a:t> 1,000 </a:t>
          </a:fld>
          <a:endParaRPr lang="en-GB" sz="1600">
            <a:solidFill>
              <a:schemeClr val="bg1"/>
            </a:solidFill>
          </a:endParaRPr>
        </a:p>
      </xdr:txBody>
    </xdr:sp>
    <xdr:clientData/>
  </xdr:twoCellAnchor>
  <xdr:twoCellAnchor>
    <xdr:from>
      <xdr:col>4</xdr:col>
      <xdr:colOff>38100</xdr:colOff>
      <xdr:row>3</xdr:row>
      <xdr:rowOff>161925</xdr:rowOff>
    </xdr:from>
    <xdr:to>
      <xdr:col>7</xdr:col>
      <xdr:colOff>477300</xdr:colOff>
      <xdr:row>6</xdr:row>
      <xdr:rowOff>104774</xdr:rowOff>
    </xdr:to>
    <xdr:sp macro="" textlink="">
      <xdr:nvSpPr>
        <xdr:cNvPr id="10" name="Rectangle: Rounded Corners 9">
          <a:extLst>
            <a:ext uri="{FF2B5EF4-FFF2-40B4-BE49-F238E27FC236}">
              <a16:creationId xmlns:a16="http://schemas.microsoft.com/office/drawing/2014/main" id="{C4265577-B5CD-455C-A058-8E61EDDB082C}"/>
            </a:ext>
          </a:extLst>
        </xdr:cNvPr>
        <xdr:cNvSpPr/>
      </xdr:nvSpPr>
      <xdr:spPr>
        <a:xfrm>
          <a:off x="2476500" y="733425"/>
          <a:ext cx="2268000" cy="514349"/>
        </a:xfrm>
        <a:prstGeom prst="roundRect">
          <a:avLst/>
        </a:prstGeom>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marL="0" indent="0" algn="ctr"/>
          <a:r>
            <a:rPr lang="en-GB" sz="1600">
              <a:solidFill>
                <a:schemeClr val="lt1"/>
              </a:solidFill>
              <a:latin typeface="+mn-lt"/>
              <a:ea typeface="+mn-ea"/>
              <a:cs typeface="+mn-cs"/>
            </a:rPr>
            <a:t>Total Premium</a:t>
          </a:r>
        </a:p>
      </xdr:txBody>
    </xdr:sp>
    <xdr:clientData/>
  </xdr:twoCellAnchor>
  <xdr:twoCellAnchor>
    <xdr:from>
      <xdr:col>8</xdr:col>
      <xdr:colOff>57149</xdr:colOff>
      <xdr:row>3</xdr:row>
      <xdr:rowOff>142875</xdr:rowOff>
    </xdr:from>
    <xdr:to>
      <xdr:col>11</xdr:col>
      <xdr:colOff>496349</xdr:colOff>
      <xdr:row>6</xdr:row>
      <xdr:rowOff>85724</xdr:rowOff>
    </xdr:to>
    <xdr:sp macro="" textlink="">
      <xdr:nvSpPr>
        <xdr:cNvPr id="11" name="Rectangle: Rounded Corners 10">
          <a:extLst>
            <a:ext uri="{FF2B5EF4-FFF2-40B4-BE49-F238E27FC236}">
              <a16:creationId xmlns:a16="http://schemas.microsoft.com/office/drawing/2014/main" id="{B0938130-17B4-4862-A0BC-A97EC1392927}"/>
            </a:ext>
          </a:extLst>
        </xdr:cNvPr>
        <xdr:cNvSpPr/>
      </xdr:nvSpPr>
      <xdr:spPr>
        <a:xfrm>
          <a:off x="4933949" y="714375"/>
          <a:ext cx="2268000" cy="514349"/>
        </a:xfrm>
        <a:prstGeom prst="roundRect">
          <a:avLst/>
        </a:prstGeom>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marL="0" indent="0" algn="ctr"/>
          <a:r>
            <a:rPr lang="en-GB" sz="1600">
              <a:solidFill>
                <a:schemeClr val="lt1"/>
              </a:solidFill>
              <a:latin typeface="+mn-lt"/>
              <a:ea typeface="+mn-ea"/>
              <a:cs typeface="+mn-cs"/>
            </a:rPr>
            <a:t>Minimum Premium</a:t>
          </a:r>
        </a:p>
      </xdr:txBody>
    </xdr:sp>
    <xdr:clientData/>
  </xdr:twoCellAnchor>
  <xdr:twoCellAnchor>
    <xdr:from>
      <xdr:col>12</xdr:col>
      <xdr:colOff>152399</xdr:colOff>
      <xdr:row>3</xdr:row>
      <xdr:rowOff>161925</xdr:rowOff>
    </xdr:from>
    <xdr:to>
      <xdr:col>15</xdr:col>
      <xdr:colOff>591599</xdr:colOff>
      <xdr:row>6</xdr:row>
      <xdr:rowOff>104774</xdr:rowOff>
    </xdr:to>
    <xdr:sp macro="" textlink="">
      <xdr:nvSpPr>
        <xdr:cNvPr id="12" name="Rectangle: Rounded Corners 11">
          <a:extLst>
            <a:ext uri="{FF2B5EF4-FFF2-40B4-BE49-F238E27FC236}">
              <a16:creationId xmlns:a16="http://schemas.microsoft.com/office/drawing/2014/main" id="{463DA092-E6C5-4B29-88D5-73578E023D3B}"/>
            </a:ext>
          </a:extLst>
        </xdr:cNvPr>
        <xdr:cNvSpPr/>
      </xdr:nvSpPr>
      <xdr:spPr>
        <a:xfrm>
          <a:off x="7467599" y="733425"/>
          <a:ext cx="2268000" cy="514349"/>
        </a:xfrm>
        <a:prstGeom prst="roundRect">
          <a:avLst/>
        </a:prstGeom>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marL="0" indent="0" algn="ctr"/>
          <a:r>
            <a:rPr lang="en-GB" sz="1600">
              <a:solidFill>
                <a:schemeClr val="lt1"/>
              </a:solidFill>
              <a:latin typeface="+mn-lt"/>
              <a:ea typeface="+mn-ea"/>
              <a:cs typeface="+mn-cs"/>
            </a:rPr>
            <a:t>Average Premium</a:t>
          </a:r>
        </a:p>
      </xdr:txBody>
    </xdr:sp>
    <xdr:clientData/>
  </xdr:twoCellAnchor>
  <xdr:twoCellAnchor>
    <xdr:from>
      <xdr:col>16</xdr:col>
      <xdr:colOff>190499</xdr:colOff>
      <xdr:row>3</xdr:row>
      <xdr:rowOff>142875</xdr:rowOff>
    </xdr:from>
    <xdr:to>
      <xdr:col>20</xdr:col>
      <xdr:colOff>20099</xdr:colOff>
      <xdr:row>6</xdr:row>
      <xdr:rowOff>85724</xdr:rowOff>
    </xdr:to>
    <xdr:sp macro="" textlink="">
      <xdr:nvSpPr>
        <xdr:cNvPr id="13" name="Rectangle: Rounded Corners 12">
          <a:extLst>
            <a:ext uri="{FF2B5EF4-FFF2-40B4-BE49-F238E27FC236}">
              <a16:creationId xmlns:a16="http://schemas.microsoft.com/office/drawing/2014/main" id="{E8041230-5968-433C-9BA4-4600BD73EEB0}"/>
            </a:ext>
          </a:extLst>
        </xdr:cNvPr>
        <xdr:cNvSpPr/>
      </xdr:nvSpPr>
      <xdr:spPr>
        <a:xfrm>
          <a:off x="9944099" y="714375"/>
          <a:ext cx="2268000" cy="514349"/>
        </a:xfrm>
        <a:prstGeom prst="roundRect">
          <a:avLst/>
        </a:prstGeom>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marL="0" indent="0" algn="ctr"/>
          <a:r>
            <a:rPr lang="en-GB" sz="1600">
              <a:solidFill>
                <a:schemeClr val="lt1"/>
              </a:solidFill>
              <a:latin typeface="+mn-lt"/>
              <a:ea typeface="+mn-ea"/>
              <a:cs typeface="+mn-cs"/>
            </a:rPr>
            <a:t>Maximum Premium</a:t>
          </a:r>
        </a:p>
      </xdr:txBody>
    </xdr:sp>
    <xdr:clientData/>
  </xdr:twoCellAnchor>
  <xdr:twoCellAnchor>
    <xdr:from>
      <xdr:col>4</xdr:col>
      <xdr:colOff>552450</xdr:colOff>
      <xdr:row>5</xdr:row>
      <xdr:rowOff>66675</xdr:rowOff>
    </xdr:from>
    <xdr:to>
      <xdr:col>6</xdr:col>
      <xdr:colOff>504825</xdr:colOff>
      <xdr:row>6</xdr:row>
      <xdr:rowOff>66675</xdr:rowOff>
    </xdr:to>
    <xdr:sp macro="" textlink="'Summary Statistics'!$A$20">
      <xdr:nvSpPr>
        <xdr:cNvPr id="14" name="TextBox 13">
          <a:extLst>
            <a:ext uri="{FF2B5EF4-FFF2-40B4-BE49-F238E27FC236}">
              <a16:creationId xmlns:a16="http://schemas.microsoft.com/office/drawing/2014/main" id="{0DD73A3F-55F4-4F70-B888-E375789CBD78}"/>
            </a:ext>
          </a:extLst>
        </xdr:cNvPr>
        <xdr:cNvSpPr txBox="1"/>
      </xdr:nvSpPr>
      <xdr:spPr>
        <a:xfrm>
          <a:off x="2990850" y="1019175"/>
          <a:ext cx="1171575" cy="190500"/>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1395BAC-B04C-4F6E-A899-B661D05015A9}" type="TxLink">
            <a:rPr lang="en-US" sz="1600" b="0" i="0" u="none" strike="noStrike">
              <a:solidFill>
                <a:schemeClr val="bg1"/>
              </a:solidFill>
              <a:latin typeface="Aptos Narrow"/>
              <a:ea typeface="+mn-ea"/>
              <a:cs typeface="+mn-cs"/>
            </a:rPr>
            <a:pPr marL="0" indent="0" algn="ctr"/>
            <a:t> $493,742 </a:t>
          </a:fld>
          <a:endParaRPr lang="en-GB" sz="1600" b="0" i="0" u="none" strike="noStrike">
            <a:solidFill>
              <a:schemeClr val="bg1"/>
            </a:solidFill>
            <a:latin typeface="Aptos Narrow"/>
            <a:ea typeface="+mn-ea"/>
            <a:cs typeface="+mn-cs"/>
          </a:endParaRPr>
        </a:p>
      </xdr:txBody>
    </xdr:sp>
    <xdr:clientData/>
  </xdr:twoCellAnchor>
  <xdr:twoCellAnchor>
    <xdr:from>
      <xdr:col>9</xdr:col>
      <xdr:colOff>38100</xdr:colOff>
      <xdr:row>5</xdr:row>
      <xdr:rowOff>85725</xdr:rowOff>
    </xdr:from>
    <xdr:to>
      <xdr:col>10</xdr:col>
      <xdr:colOff>352425</xdr:colOff>
      <xdr:row>6</xdr:row>
      <xdr:rowOff>76200</xdr:rowOff>
    </xdr:to>
    <xdr:sp macro="" textlink="'Summary Statistics'!$A$4">
      <xdr:nvSpPr>
        <xdr:cNvPr id="15" name="TextBox 14">
          <a:extLst>
            <a:ext uri="{FF2B5EF4-FFF2-40B4-BE49-F238E27FC236}">
              <a16:creationId xmlns:a16="http://schemas.microsoft.com/office/drawing/2014/main" id="{8ACA83AC-A549-41D9-987E-7485AE699A8C}"/>
            </a:ext>
          </a:extLst>
        </xdr:cNvPr>
        <xdr:cNvSpPr txBox="1"/>
      </xdr:nvSpPr>
      <xdr:spPr>
        <a:xfrm>
          <a:off x="5524500" y="1038225"/>
          <a:ext cx="923925" cy="180975"/>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EE9CA58-C653-4F64-B9AC-7F8546A3C959}" type="TxLink">
            <a:rPr lang="en-US" sz="1600" b="0" i="0" u="none" strike="noStrike">
              <a:solidFill>
                <a:schemeClr val="bg1"/>
              </a:solidFill>
              <a:latin typeface="Aptos Narrow"/>
              <a:ea typeface="+mn-ea"/>
              <a:cs typeface="+mn-cs"/>
            </a:rPr>
            <a:pPr marL="0" indent="0" algn="ctr"/>
            <a:t> $477 </a:t>
          </a:fld>
          <a:endParaRPr lang="en-GB" sz="1600" b="0" i="0" u="none" strike="noStrike">
            <a:solidFill>
              <a:schemeClr val="bg1"/>
            </a:solidFill>
            <a:latin typeface="Aptos Narrow"/>
            <a:ea typeface="+mn-ea"/>
            <a:cs typeface="+mn-cs"/>
          </a:endParaRPr>
        </a:p>
      </xdr:txBody>
    </xdr:sp>
    <xdr:clientData/>
  </xdr:twoCellAnchor>
  <xdr:twoCellAnchor>
    <xdr:from>
      <xdr:col>13</xdr:col>
      <xdr:colOff>180975</xdr:colOff>
      <xdr:row>5</xdr:row>
      <xdr:rowOff>85725</xdr:rowOff>
    </xdr:from>
    <xdr:to>
      <xdr:col>14</xdr:col>
      <xdr:colOff>495300</xdr:colOff>
      <xdr:row>6</xdr:row>
      <xdr:rowOff>76200</xdr:rowOff>
    </xdr:to>
    <xdr:sp macro="" textlink="'Summary Statistics'!$A$8">
      <xdr:nvSpPr>
        <xdr:cNvPr id="16" name="TextBox 15">
          <a:extLst>
            <a:ext uri="{FF2B5EF4-FFF2-40B4-BE49-F238E27FC236}">
              <a16:creationId xmlns:a16="http://schemas.microsoft.com/office/drawing/2014/main" id="{F7E718C0-2113-4860-A077-8E68E8205F81}"/>
            </a:ext>
          </a:extLst>
        </xdr:cNvPr>
        <xdr:cNvSpPr txBox="1"/>
      </xdr:nvSpPr>
      <xdr:spPr>
        <a:xfrm>
          <a:off x="8105775" y="1038225"/>
          <a:ext cx="923925" cy="180975"/>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9CEA33B-443D-4A53-B6A5-71F4F811ADE5}" type="TxLink">
            <a:rPr lang="en-US" sz="1600" b="0" i="0" u="none" strike="noStrike">
              <a:solidFill>
                <a:schemeClr val="bg1"/>
              </a:solidFill>
              <a:latin typeface="Aptos Narrow"/>
              <a:ea typeface="+mn-ea"/>
              <a:cs typeface="+mn-cs"/>
            </a:rPr>
            <a:pPr marL="0" indent="0" algn="ctr"/>
            <a:t> $494 </a:t>
          </a:fld>
          <a:endParaRPr lang="en-GB" sz="1600" b="0" i="0" u="none" strike="noStrike">
            <a:solidFill>
              <a:schemeClr val="bg1"/>
            </a:solidFill>
            <a:latin typeface="Aptos Narrow"/>
            <a:ea typeface="+mn-ea"/>
            <a:cs typeface="+mn-cs"/>
          </a:endParaRPr>
        </a:p>
      </xdr:txBody>
    </xdr:sp>
    <xdr:clientData/>
  </xdr:twoCellAnchor>
  <xdr:twoCellAnchor>
    <xdr:from>
      <xdr:col>17</xdr:col>
      <xdr:colOff>228600</xdr:colOff>
      <xdr:row>5</xdr:row>
      <xdr:rowOff>57150</xdr:rowOff>
    </xdr:from>
    <xdr:to>
      <xdr:col>18</xdr:col>
      <xdr:colOff>542925</xdr:colOff>
      <xdr:row>6</xdr:row>
      <xdr:rowOff>47625</xdr:rowOff>
    </xdr:to>
    <xdr:sp macro="" textlink="'Summary Statistics'!$A$12">
      <xdr:nvSpPr>
        <xdr:cNvPr id="17" name="TextBox 16">
          <a:extLst>
            <a:ext uri="{FF2B5EF4-FFF2-40B4-BE49-F238E27FC236}">
              <a16:creationId xmlns:a16="http://schemas.microsoft.com/office/drawing/2014/main" id="{97D8287F-BF00-4378-ACB4-3927654CADB6}"/>
            </a:ext>
          </a:extLst>
        </xdr:cNvPr>
        <xdr:cNvSpPr txBox="1"/>
      </xdr:nvSpPr>
      <xdr:spPr>
        <a:xfrm>
          <a:off x="10591800" y="1009650"/>
          <a:ext cx="923925" cy="180975"/>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CE7D002-D65B-4338-9F96-5D8B8AEE4F60}" type="TxLink">
            <a:rPr lang="en-US" sz="1600" b="0" i="0" u="none" strike="noStrike">
              <a:solidFill>
                <a:schemeClr val="bg1"/>
              </a:solidFill>
              <a:latin typeface="Aptos Narrow"/>
              <a:ea typeface="+mn-ea"/>
              <a:cs typeface="+mn-cs"/>
            </a:rPr>
            <a:pPr marL="0" indent="0" algn="ctr"/>
            <a:t> $508 </a:t>
          </a:fld>
          <a:endParaRPr lang="en-GB" sz="1600" b="0" i="0" u="none" strike="noStrike">
            <a:solidFill>
              <a:schemeClr val="bg1"/>
            </a:solidFill>
            <a:latin typeface="Aptos Narrow"/>
            <a:ea typeface="+mn-ea"/>
            <a:cs typeface="+mn-cs"/>
          </a:endParaRPr>
        </a:p>
      </xdr:txBody>
    </xdr:sp>
    <xdr:clientData/>
  </xdr:twoCellAnchor>
  <xdr:twoCellAnchor>
    <xdr:from>
      <xdr:col>0</xdr:col>
      <xdr:colOff>114299</xdr:colOff>
      <xdr:row>7</xdr:row>
      <xdr:rowOff>19049</xdr:rowOff>
    </xdr:from>
    <xdr:to>
      <xdr:col>10</xdr:col>
      <xdr:colOff>352425</xdr:colOff>
      <xdr:row>19</xdr:row>
      <xdr:rowOff>152400</xdr:rowOff>
    </xdr:to>
    <xdr:graphicFrame macro="">
      <xdr:nvGraphicFramePr>
        <xdr:cNvPr id="19" name="Chart 18">
          <a:extLst>
            <a:ext uri="{FF2B5EF4-FFF2-40B4-BE49-F238E27FC236}">
              <a16:creationId xmlns:a16="http://schemas.microsoft.com/office/drawing/2014/main" id="{11D6357D-5CE0-4B45-B863-8090947FD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447676</xdr:colOff>
      <xdr:row>7</xdr:row>
      <xdr:rowOff>28575</xdr:rowOff>
    </xdr:from>
    <xdr:to>
      <xdr:col>19</xdr:col>
      <xdr:colOff>600075</xdr:colOff>
      <xdr:row>19</xdr:row>
      <xdr:rowOff>142875</xdr:rowOff>
    </xdr:to>
    <xdr:graphicFrame macro="">
      <xdr:nvGraphicFramePr>
        <xdr:cNvPr id="20" name="Chart 19">
          <a:extLst>
            <a:ext uri="{FF2B5EF4-FFF2-40B4-BE49-F238E27FC236}">
              <a16:creationId xmlns:a16="http://schemas.microsoft.com/office/drawing/2014/main" id="{56AB9033-B05E-4E0A-80EC-0A7E13CDE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485774</xdr:colOff>
      <xdr:row>20</xdr:row>
      <xdr:rowOff>19050</xdr:rowOff>
    </xdr:from>
    <xdr:to>
      <xdr:col>20</xdr:col>
      <xdr:colOff>238125</xdr:colOff>
      <xdr:row>33</xdr:row>
      <xdr:rowOff>180976</xdr:rowOff>
    </xdr:to>
    <xdr:graphicFrame macro="">
      <xdr:nvGraphicFramePr>
        <xdr:cNvPr id="22" name="Chart 21">
          <a:extLst>
            <a:ext uri="{FF2B5EF4-FFF2-40B4-BE49-F238E27FC236}">
              <a16:creationId xmlns:a16="http://schemas.microsoft.com/office/drawing/2014/main" id="{6255CAEA-7912-4B8E-AE4A-82C5D05F8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171450</xdr:colOff>
      <xdr:row>20</xdr:row>
      <xdr:rowOff>66674</xdr:rowOff>
    </xdr:from>
    <xdr:to>
      <xdr:col>6</xdr:col>
      <xdr:colOff>171450</xdr:colOff>
      <xdr:row>34</xdr:row>
      <xdr:rowOff>38099</xdr:rowOff>
    </xdr:to>
    <xdr:graphicFrame macro="">
      <xdr:nvGraphicFramePr>
        <xdr:cNvPr id="23" name="Chart 22">
          <a:extLst>
            <a:ext uri="{FF2B5EF4-FFF2-40B4-BE49-F238E27FC236}">
              <a16:creationId xmlns:a16="http://schemas.microsoft.com/office/drawing/2014/main" id="{9CE43451-4711-450C-8664-D6FEA4C0B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352425</xdr:colOff>
      <xdr:row>20</xdr:row>
      <xdr:rowOff>104776</xdr:rowOff>
    </xdr:from>
    <xdr:to>
      <xdr:col>13</xdr:col>
      <xdr:colOff>0</xdr:colOff>
      <xdr:row>34</xdr:row>
      <xdr:rowOff>66675</xdr:rowOff>
    </xdr:to>
    <xdr:graphicFrame macro="">
      <xdr:nvGraphicFramePr>
        <xdr:cNvPr id="24" name="Chart 23">
          <a:extLst>
            <a:ext uri="{FF2B5EF4-FFF2-40B4-BE49-F238E27FC236}">
              <a16:creationId xmlns:a16="http://schemas.microsoft.com/office/drawing/2014/main" id="{C486E60D-6785-4C34-BA63-A3BF079717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219075</xdr:colOff>
      <xdr:row>4</xdr:row>
      <xdr:rowOff>95250</xdr:rowOff>
    </xdr:from>
    <xdr:to>
      <xdr:col>23</xdr:col>
      <xdr:colOff>514350</xdr:colOff>
      <xdr:row>33</xdr:row>
      <xdr:rowOff>123825</xdr:rowOff>
    </xdr:to>
    <mc:AlternateContent xmlns:mc="http://schemas.openxmlformats.org/markup-compatibility/2006" xmlns:a14="http://schemas.microsoft.com/office/drawing/2010/main">
      <mc:Choice Requires="a14">
        <xdr:graphicFrame macro="">
          <xdr:nvGraphicFramePr>
            <xdr:cNvPr id="29" name="Car Manufacturing Year">
              <a:extLst>
                <a:ext uri="{FF2B5EF4-FFF2-40B4-BE49-F238E27FC236}">
                  <a16:creationId xmlns:a16="http://schemas.microsoft.com/office/drawing/2014/main" id="{CA1A2FA3-7170-A652-41D6-12F4C5DE7B9B}"/>
                </a:ext>
              </a:extLst>
            </xdr:cNvPr>
            <xdr:cNvGraphicFramePr/>
          </xdr:nvGraphicFramePr>
          <xdr:xfrm>
            <a:off x="0" y="0"/>
            <a:ext cx="0" cy="0"/>
          </xdr:xfrm>
          <a:graphic>
            <a:graphicData uri="http://schemas.microsoft.com/office/drawing/2010/slicer">
              <sle:slicer xmlns:sle="http://schemas.microsoft.com/office/drawing/2010/slicer" name="Car Manufacturing Year"/>
            </a:graphicData>
          </a:graphic>
        </xdr:graphicFrame>
      </mc:Choice>
      <mc:Fallback xmlns="">
        <xdr:sp macro="" textlink="">
          <xdr:nvSpPr>
            <xdr:cNvPr id="0" name=""/>
            <xdr:cNvSpPr>
              <a:spLocks noTextEdit="1"/>
            </xdr:cNvSpPr>
          </xdr:nvSpPr>
          <xdr:spPr>
            <a:xfrm>
              <a:off x="12430125" y="904876"/>
              <a:ext cx="2105025" cy="5581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257175</xdr:colOff>
      <xdr:row>0</xdr:row>
      <xdr:rowOff>19050</xdr:rowOff>
    </xdr:from>
    <xdr:to>
      <xdr:col>4</xdr:col>
      <xdr:colOff>38100</xdr:colOff>
      <xdr:row>3</xdr:row>
      <xdr:rowOff>85725</xdr:rowOff>
    </xdr:to>
    <xdr:pic>
      <xdr:nvPicPr>
        <xdr:cNvPr id="4" name="Picture 3">
          <a:extLst>
            <a:ext uri="{FF2B5EF4-FFF2-40B4-BE49-F238E27FC236}">
              <a16:creationId xmlns:a16="http://schemas.microsoft.com/office/drawing/2014/main" id="{60868C2B-0B44-D425-78E7-2B93CB07B98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66775" y="19050"/>
          <a:ext cx="1609725" cy="638175"/>
        </a:xfrm>
        <a:prstGeom prst="rect">
          <a:avLst/>
        </a:prstGeom>
      </xdr:spPr>
    </xdr:pic>
    <xdr:clientData/>
  </xdr:twoCellAnchor>
  <xdr:twoCellAnchor editAs="oneCell">
    <xdr:from>
      <xdr:col>19</xdr:col>
      <xdr:colOff>438150</xdr:colOff>
      <xdr:row>0</xdr:row>
      <xdr:rowOff>19052</xdr:rowOff>
    </xdr:from>
    <xdr:to>
      <xdr:col>22</xdr:col>
      <xdr:colOff>390526</xdr:colOff>
      <xdr:row>3</xdr:row>
      <xdr:rowOff>85726</xdr:rowOff>
    </xdr:to>
    <xdr:pic>
      <xdr:nvPicPr>
        <xdr:cNvPr id="7" name="Picture 6">
          <a:extLst>
            <a:ext uri="{FF2B5EF4-FFF2-40B4-BE49-F238E27FC236}">
              <a16:creationId xmlns:a16="http://schemas.microsoft.com/office/drawing/2014/main" id="{69BAA2E6-3B90-F547-EE90-73912F3C31B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020550" y="19052"/>
          <a:ext cx="1781176" cy="6381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9524</xdr:colOff>
      <xdr:row>3</xdr:row>
      <xdr:rowOff>23812</xdr:rowOff>
    </xdr:from>
    <xdr:to>
      <xdr:col>12</xdr:col>
      <xdr:colOff>19049</xdr:colOff>
      <xdr:row>18</xdr:row>
      <xdr:rowOff>19050</xdr:rowOff>
    </xdr:to>
    <xdr:graphicFrame macro="">
      <xdr:nvGraphicFramePr>
        <xdr:cNvPr id="2" name="Chart 1">
          <a:extLst>
            <a:ext uri="{FF2B5EF4-FFF2-40B4-BE49-F238E27FC236}">
              <a16:creationId xmlns:a16="http://schemas.microsoft.com/office/drawing/2014/main" id="{419DAB68-8813-B9CC-5D48-BEF69584DD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466725</xdr:colOff>
      <xdr:row>6</xdr:row>
      <xdr:rowOff>42862</xdr:rowOff>
    </xdr:from>
    <xdr:to>
      <xdr:col>12</xdr:col>
      <xdr:colOff>236325</xdr:colOff>
      <xdr:row>20</xdr:row>
      <xdr:rowOff>119062</xdr:rowOff>
    </xdr:to>
    <xdr:graphicFrame macro="">
      <xdr:nvGraphicFramePr>
        <xdr:cNvPr id="2" name="Chart 1">
          <a:extLst>
            <a:ext uri="{FF2B5EF4-FFF2-40B4-BE49-F238E27FC236}">
              <a16:creationId xmlns:a16="http://schemas.microsoft.com/office/drawing/2014/main" id="{E336823D-D6BA-A23C-D6EA-888CFCE2C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314325</xdr:colOff>
      <xdr:row>1</xdr:row>
      <xdr:rowOff>180975</xdr:rowOff>
    </xdr:from>
    <xdr:to>
      <xdr:col>11</xdr:col>
      <xdr:colOff>238125</xdr:colOff>
      <xdr:row>15</xdr:row>
      <xdr:rowOff>142874</xdr:rowOff>
    </xdr:to>
    <xdr:graphicFrame macro="">
      <xdr:nvGraphicFramePr>
        <xdr:cNvPr id="2" name="Chart 1">
          <a:extLst>
            <a:ext uri="{FF2B5EF4-FFF2-40B4-BE49-F238E27FC236}">
              <a16:creationId xmlns:a16="http://schemas.microsoft.com/office/drawing/2014/main" id="{7BB31B2E-76DF-43FC-92AD-F2CB84424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176212</xdr:colOff>
      <xdr:row>3</xdr:row>
      <xdr:rowOff>119061</xdr:rowOff>
    </xdr:from>
    <xdr:to>
      <xdr:col>11</xdr:col>
      <xdr:colOff>533400</xdr:colOff>
      <xdr:row>19</xdr:row>
      <xdr:rowOff>85724</xdr:rowOff>
    </xdr:to>
    <xdr:graphicFrame macro="">
      <xdr:nvGraphicFramePr>
        <xdr:cNvPr id="4" name="Chart 3">
          <a:extLst>
            <a:ext uri="{FF2B5EF4-FFF2-40B4-BE49-F238E27FC236}">
              <a16:creationId xmlns:a16="http://schemas.microsoft.com/office/drawing/2014/main" id="{B32B2ED0-AD8E-6E50-A65B-7138E33B32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571500</xdr:colOff>
      <xdr:row>2</xdr:row>
      <xdr:rowOff>176212</xdr:rowOff>
    </xdr:from>
    <xdr:to>
      <xdr:col>11</xdr:col>
      <xdr:colOff>266700</xdr:colOff>
      <xdr:row>17</xdr:row>
      <xdr:rowOff>61912</xdr:rowOff>
    </xdr:to>
    <xdr:graphicFrame macro="">
      <xdr:nvGraphicFramePr>
        <xdr:cNvPr id="2" name="Chart 1">
          <a:extLst>
            <a:ext uri="{FF2B5EF4-FFF2-40B4-BE49-F238E27FC236}">
              <a16:creationId xmlns:a16="http://schemas.microsoft.com/office/drawing/2014/main" id="{F7F513E0-CA0E-628D-56BD-86CA39246E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hiru" refreshedDate="46061.124758680555" createdVersion="8" refreshedVersion="8" minRefreshableVersion="3" recordCount="1000" xr:uid="{5CF1C14F-96BF-4D3E-9D6D-1CC53F12AEC6}">
  <cacheSource type="worksheet">
    <worksheetSource ref="A1:G1001" sheet="Transformed Data"/>
  </cacheSource>
  <cacheFields count="7">
    <cacheField name="Driver Age" numFmtId="0">
      <sharedItems containsMixedTypes="1" containsNumber="1" containsInteger="1" minValue="18" maxValue="65" count="58">
        <s v="53 - 58"/>
        <s v="43 - 48"/>
        <s v="28 - 33"/>
        <s v="58 - 63"/>
        <s v="23 - 28"/>
        <s v="33 - 38"/>
        <s v="38 - 43"/>
        <s v="48 - 53"/>
        <s v="18 - 23"/>
        <s v="63 - 68"/>
        <n v="56" u="1"/>
        <n v="46" u="1"/>
        <n v="32" u="1"/>
        <n v="60" u="1"/>
        <n v="25" u="1"/>
        <n v="38" u="1"/>
        <n v="36" u="1"/>
        <n v="40" u="1"/>
        <n v="28" u="1"/>
        <n v="41" u="1"/>
        <n v="53" u="1"/>
        <n v="57" u="1"/>
        <n v="20" u="1"/>
        <n v="39" u="1"/>
        <n v="19" u="1"/>
        <n v="61" u="1"/>
        <n v="47" u="1"/>
        <n v="55" u="1"/>
        <n v="50" u="1"/>
        <n v="29" u="1"/>
        <n v="42" u="1"/>
        <n v="44" u="1"/>
        <n v="59" u="1"/>
        <n v="45" u="1"/>
        <n v="33" u="1"/>
        <n v="64" u="1"/>
        <n v="54" u="1"/>
        <n v="24" u="1"/>
        <n v="26" u="1"/>
        <n v="35" u="1"/>
        <n v="21" u="1"/>
        <n v="31" u="1"/>
        <n v="43" u="1"/>
        <n v="37" u="1"/>
        <n v="52" u="1"/>
        <n v="34" u="1"/>
        <n v="23" u="1"/>
        <n v="51" u="1"/>
        <n v="27" u="1"/>
        <n v="48" u="1"/>
        <n v="65" u="1"/>
        <n v="62" u="1"/>
        <n v="58" u="1"/>
        <n v="18" u="1"/>
        <n v="22" u="1"/>
        <n v="30" u="1"/>
        <n v="49" u="1"/>
        <n v="63" u="1"/>
      </sharedItems>
    </cacheField>
    <cacheField name="Driver Experience" numFmtId="0">
      <sharedItems containsMixedTypes="1" containsNumber="1" containsInteger="1" minValue="0" maxValue="40" count="49">
        <s v="30 - 35"/>
        <s v="15 - 20"/>
        <s v="10 - 15"/>
        <s v="0 - 5"/>
        <s v="5 - 10"/>
        <s v="35 - 40"/>
        <s v="20 - 25"/>
        <s v="25 - 30"/>
        <n v="32" u="1"/>
        <n v="19" u="1"/>
        <n v="11" u="1"/>
        <n v="0" u="1"/>
        <n v="7" u="1"/>
        <n v="13" u="1"/>
        <n v="37" u="1"/>
        <n v="18" u="1"/>
        <n v="10" u="1"/>
        <n v="2" u="1"/>
        <n v="5" u="1"/>
        <n v="9" u="1"/>
        <n v="21" u="1"/>
        <n v="1" u="1"/>
        <n v="12" u="1"/>
        <n v="29" u="1"/>
        <n v="8" u="1"/>
        <n v="16" u="1"/>
        <n v="14" u="1"/>
        <n v="23" u="1"/>
        <n v="27" u="1"/>
        <n v="15" u="1"/>
        <n v="30" u="1"/>
        <n v="4" u="1"/>
        <n v="6" u="1"/>
        <n v="20" u="1"/>
        <n v="34" u="1"/>
        <n v="17" u="1"/>
        <n v="24" u="1"/>
        <n v="36" u="1"/>
        <n v="25" u="1"/>
        <n v="3" u="1"/>
        <n v="39" u="1"/>
        <n v="28" u="1"/>
        <n v="31" u="1"/>
        <n v="33" u="1"/>
        <n v="22" u="1"/>
        <n v="26" u="1"/>
        <n v="35" u="1"/>
        <n v="38" u="1"/>
        <n v="40" u="1"/>
      </sharedItems>
    </cacheField>
    <cacheField name="Previous Accidents" numFmtId="0">
      <sharedItems containsSemiMixedTypes="0" containsString="0" containsNumber="1" containsInteger="1" minValue="0" maxValue="5" count="6">
        <n v="4"/>
        <n v="0"/>
        <n v="2"/>
        <n v="3"/>
        <n v="1"/>
        <n v="5"/>
      </sharedItems>
    </cacheField>
    <cacheField name="Annual Mileage (x1000 km)" numFmtId="0">
      <sharedItems containsMixedTypes="1" containsNumber="1" containsInteger="1" minValue="11" maxValue="25" count="19">
        <s v="15 - 19"/>
        <s v="19 - 23"/>
        <s v="11 - 15"/>
        <s v="23 - 27"/>
        <n v="17" u="1"/>
        <n v="21" u="1"/>
        <n v="15" u="1"/>
        <n v="19" u="1"/>
        <n v="13" u="1"/>
        <n v="11" u="1"/>
        <n v="14" u="1"/>
        <n v="12" u="1"/>
        <n v="20" u="1"/>
        <n v="24" u="1"/>
        <n v="23" u="1"/>
        <n v="22" u="1"/>
        <n v="16" u="1"/>
        <n v="25" u="1"/>
        <n v="18" u="1"/>
      </sharedItems>
    </cacheField>
    <cacheField name="Car Manufacturing Year" numFmtId="0">
      <sharedItems containsSemiMixedTypes="0" containsString="0" containsNumber="1" containsInteger="1" minValue="1990" maxValue="2025" count="36">
        <n v="2002"/>
        <n v="2025"/>
        <n v="2020"/>
        <n v="1991"/>
        <n v="2005"/>
        <n v="1998"/>
        <n v="2000"/>
        <n v="2011"/>
        <n v="2022"/>
        <n v="2012"/>
        <n v="2023"/>
        <n v="2013"/>
        <n v="1997"/>
        <n v="1996"/>
        <n v="2007"/>
        <n v="1992"/>
        <n v="2017"/>
        <n v="1995"/>
        <n v="2010"/>
        <n v="1990"/>
        <n v="2024"/>
        <n v="1999"/>
        <n v="2006"/>
        <n v="2003"/>
        <n v="2014"/>
        <n v="2001"/>
        <n v="2018"/>
        <n v="2015"/>
        <n v="2009"/>
        <n v="2016"/>
        <n v="2019"/>
        <n v="2021"/>
        <n v="1993"/>
        <n v="2004"/>
        <n v="1994"/>
        <n v="2008"/>
      </sharedItems>
    </cacheField>
    <cacheField name="Car Age" numFmtId="0">
      <sharedItems containsMixedTypes="1" containsNumber="1" containsInteger="1" minValue="0" maxValue="35" count="43">
        <s v="20 - 25"/>
        <s v="0 - 5"/>
        <s v="30 - 35"/>
        <s v="15 - 20"/>
        <s v="25 - 30"/>
        <s v="10 - 15"/>
        <s v="5 - 10"/>
        <n v="23" u="1"/>
        <n v="0" u="1"/>
        <n v="5" u="1"/>
        <n v="34" u="1"/>
        <n v="20" u="1"/>
        <n v="27" u="1"/>
        <n v="25" u="1"/>
        <n v="14" u="1"/>
        <n v="3" u="1"/>
        <n v="13" u="1"/>
        <n v="2" u="1"/>
        <n v="12" u="1"/>
        <n v="28" u="1"/>
        <n v="29" u="1"/>
        <n v="18" u="1"/>
        <n v="33" u="1"/>
        <n v="8" u="1"/>
        <n v="30" u="1"/>
        <n v="15" u="1"/>
        <n v="35" u="1"/>
        <n v="1" u="1"/>
        <n v="26" u="1"/>
        <n v="19" u="1"/>
        <n v="22" u="1"/>
        <n v="11" u="1"/>
        <n v="24" u="1"/>
        <n v="7" u="1"/>
        <n v="10" u="1"/>
        <n v="16" u="1"/>
        <n v="9" u="1"/>
        <n v="6" u="1"/>
        <n v="4" u="1"/>
        <n v="32" u="1"/>
        <n v="21" u="1"/>
        <n v="31" u="1"/>
        <n v="17" u="1"/>
      </sharedItems>
    </cacheField>
    <cacheField name="Insurance Premium ($)" numFmtId="0">
      <sharedItems containsSemiMixedTypes="0" containsString="0" containsNumber="1" minValue="477.05" maxValue="508.15"/>
    </cacheField>
  </cacheFields>
  <extLst>
    <ext xmlns:x14="http://schemas.microsoft.com/office/spreadsheetml/2009/9/main" uri="{725AE2AE-9491-48be-B2B4-4EB974FC3084}">
      <x14:pivotCacheDefinition pivotCacheId="11993172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488.35"/>
  </r>
  <r>
    <x v="1"/>
    <x v="1"/>
    <x v="1"/>
    <x v="1"/>
    <x v="1"/>
    <x v="1"/>
    <n v="486.15"/>
  </r>
  <r>
    <x v="2"/>
    <x v="2"/>
    <x v="0"/>
    <x v="2"/>
    <x v="2"/>
    <x v="1"/>
    <n v="497.55"/>
  </r>
  <r>
    <x v="3"/>
    <x v="3"/>
    <x v="0"/>
    <x v="0"/>
    <x v="3"/>
    <x v="2"/>
    <n v="498.35"/>
  </r>
  <r>
    <x v="4"/>
    <x v="4"/>
    <x v="1"/>
    <x v="2"/>
    <x v="4"/>
    <x v="3"/>
    <n v="495.55"/>
  </r>
  <r>
    <x v="5"/>
    <x v="2"/>
    <x v="2"/>
    <x v="2"/>
    <x v="5"/>
    <x v="4"/>
    <n v="494.75"/>
  </r>
  <r>
    <x v="0"/>
    <x v="5"/>
    <x v="3"/>
    <x v="2"/>
    <x v="5"/>
    <x v="4"/>
    <n v="485.6"/>
  </r>
  <r>
    <x v="5"/>
    <x v="1"/>
    <x v="4"/>
    <x v="0"/>
    <x v="6"/>
    <x v="0"/>
    <n v="492.35"/>
  </r>
  <r>
    <x v="6"/>
    <x v="4"/>
    <x v="0"/>
    <x v="2"/>
    <x v="7"/>
    <x v="5"/>
    <n v="497.1"/>
  </r>
  <r>
    <x v="4"/>
    <x v="4"/>
    <x v="5"/>
    <x v="2"/>
    <x v="8"/>
    <x v="1"/>
    <n v="499.8"/>
  </r>
  <r>
    <x v="4"/>
    <x v="4"/>
    <x v="5"/>
    <x v="1"/>
    <x v="1"/>
    <x v="1"/>
    <n v="499.9"/>
  </r>
  <r>
    <x v="6"/>
    <x v="3"/>
    <x v="3"/>
    <x v="3"/>
    <x v="9"/>
    <x v="5"/>
    <n v="498.2"/>
  </r>
  <r>
    <x v="7"/>
    <x v="0"/>
    <x v="5"/>
    <x v="3"/>
    <x v="10"/>
    <x v="1"/>
    <n v="488.7"/>
  </r>
  <r>
    <x v="0"/>
    <x v="3"/>
    <x v="2"/>
    <x v="2"/>
    <x v="5"/>
    <x v="4"/>
    <n v="493.55"/>
  </r>
  <r>
    <x v="6"/>
    <x v="4"/>
    <x v="5"/>
    <x v="2"/>
    <x v="11"/>
    <x v="5"/>
    <n v="498.45"/>
  </r>
  <r>
    <x v="8"/>
    <x v="3"/>
    <x v="4"/>
    <x v="1"/>
    <x v="12"/>
    <x v="4"/>
    <n v="500.85"/>
  </r>
  <r>
    <x v="6"/>
    <x v="6"/>
    <x v="4"/>
    <x v="1"/>
    <x v="13"/>
    <x v="4"/>
    <n v="491.4"/>
  </r>
  <r>
    <x v="8"/>
    <x v="3"/>
    <x v="0"/>
    <x v="1"/>
    <x v="1"/>
    <x v="1"/>
    <n v="503.05"/>
  </r>
  <r>
    <x v="6"/>
    <x v="3"/>
    <x v="1"/>
    <x v="0"/>
    <x v="14"/>
    <x v="3"/>
    <n v="494.25"/>
  </r>
  <r>
    <x v="3"/>
    <x v="2"/>
    <x v="2"/>
    <x v="2"/>
    <x v="15"/>
    <x v="2"/>
    <n v="491.2"/>
  </r>
  <r>
    <x v="1"/>
    <x v="7"/>
    <x v="0"/>
    <x v="0"/>
    <x v="16"/>
    <x v="6"/>
    <n v="489.5"/>
  </r>
  <r>
    <x v="0"/>
    <x v="3"/>
    <x v="2"/>
    <x v="2"/>
    <x v="17"/>
    <x v="4"/>
    <n v="495.3"/>
  </r>
  <r>
    <x v="8"/>
    <x v="3"/>
    <x v="1"/>
    <x v="0"/>
    <x v="18"/>
    <x v="5"/>
    <n v="498.2"/>
  </r>
  <r>
    <x v="5"/>
    <x v="3"/>
    <x v="5"/>
    <x v="2"/>
    <x v="16"/>
    <x v="6"/>
    <n v="501.35"/>
  </r>
  <r>
    <x v="7"/>
    <x v="0"/>
    <x v="5"/>
    <x v="1"/>
    <x v="19"/>
    <x v="2"/>
    <n v="492.5"/>
  </r>
  <r>
    <x v="2"/>
    <x v="4"/>
    <x v="1"/>
    <x v="1"/>
    <x v="1"/>
    <x v="1"/>
    <n v="492.9"/>
  </r>
  <r>
    <x v="6"/>
    <x v="1"/>
    <x v="0"/>
    <x v="0"/>
    <x v="18"/>
    <x v="5"/>
    <n v="495.85"/>
  </r>
  <r>
    <x v="3"/>
    <x v="4"/>
    <x v="1"/>
    <x v="1"/>
    <x v="20"/>
    <x v="1"/>
    <n v="486.55"/>
  </r>
  <r>
    <x v="6"/>
    <x v="4"/>
    <x v="3"/>
    <x v="2"/>
    <x v="0"/>
    <x v="0"/>
    <n v="496"/>
  </r>
  <r>
    <x v="1"/>
    <x v="2"/>
    <x v="4"/>
    <x v="3"/>
    <x v="21"/>
    <x v="4"/>
    <n v="492.35"/>
  </r>
  <r>
    <x v="3"/>
    <x v="6"/>
    <x v="0"/>
    <x v="1"/>
    <x v="21"/>
    <x v="4"/>
    <n v="491"/>
  </r>
  <r>
    <x v="1"/>
    <x v="7"/>
    <x v="2"/>
    <x v="1"/>
    <x v="0"/>
    <x v="0"/>
    <n v="489.3"/>
  </r>
  <r>
    <x v="2"/>
    <x v="2"/>
    <x v="3"/>
    <x v="0"/>
    <x v="11"/>
    <x v="5"/>
    <n v="495.55"/>
  </r>
  <r>
    <x v="2"/>
    <x v="2"/>
    <x v="0"/>
    <x v="2"/>
    <x v="3"/>
    <x v="2"/>
    <n v="499.55"/>
  </r>
  <r>
    <x v="9"/>
    <x v="7"/>
    <x v="1"/>
    <x v="0"/>
    <x v="7"/>
    <x v="5"/>
    <n v="480.5"/>
  </r>
  <r>
    <x v="3"/>
    <x v="3"/>
    <x v="1"/>
    <x v="2"/>
    <x v="22"/>
    <x v="3"/>
    <n v="489.1"/>
  </r>
  <r>
    <x v="8"/>
    <x v="3"/>
    <x v="1"/>
    <x v="0"/>
    <x v="1"/>
    <x v="1"/>
    <n v="496.2"/>
  </r>
  <r>
    <x v="0"/>
    <x v="4"/>
    <x v="1"/>
    <x v="2"/>
    <x v="23"/>
    <x v="0"/>
    <n v="489.05"/>
  </r>
  <r>
    <x v="4"/>
    <x v="4"/>
    <x v="2"/>
    <x v="1"/>
    <x v="21"/>
    <x v="4"/>
    <n v="500.1"/>
  </r>
  <r>
    <x v="5"/>
    <x v="1"/>
    <x v="3"/>
    <x v="1"/>
    <x v="20"/>
    <x v="1"/>
    <n v="492.1"/>
  </r>
  <r>
    <x v="4"/>
    <x v="4"/>
    <x v="5"/>
    <x v="3"/>
    <x v="24"/>
    <x v="5"/>
    <n v="502.2"/>
  </r>
  <r>
    <x v="0"/>
    <x v="0"/>
    <x v="4"/>
    <x v="1"/>
    <x v="15"/>
    <x v="2"/>
    <n v="484.4"/>
  </r>
  <r>
    <x v="5"/>
    <x v="1"/>
    <x v="2"/>
    <x v="2"/>
    <x v="22"/>
    <x v="3"/>
    <n v="493.55"/>
  </r>
  <r>
    <x v="8"/>
    <x v="3"/>
    <x v="2"/>
    <x v="1"/>
    <x v="25"/>
    <x v="0"/>
    <n v="502.3"/>
  </r>
  <r>
    <x v="6"/>
    <x v="6"/>
    <x v="5"/>
    <x v="0"/>
    <x v="11"/>
    <x v="5"/>
    <n v="494"/>
  </r>
  <r>
    <x v="2"/>
    <x v="2"/>
    <x v="5"/>
    <x v="1"/>
    <x v="26"/>
    <x v="6"/>
    <n v="499.1"/>
  </r>
  <r>
    <x v="4"/>
    <x v="4"/>
    <x v="4"/>
    <x v="3"/>
    <x v="24"/>
    <x v="5"/>
    <n v="496.2"/>
  </r>
  <r>
    <x v="6"/>
    <x v="4"/>
    <x v="4"/>
    <x v="2"/>
    <x v="1"/>
    <x v="1"/>
    <n v="491.35"/>
  </r>
  <r>
    <x v="8"/>
    <x v="3"/>
    <x v="5"/>
    <x v="2"/>
    <x v="27"/>
    <x v="6"/>
    <n v="505.15"/>
  </r>
  <r>
    <x v="5"/>
    <x v="1"/>
    <x v="1"/>
    <x v="2"/>
    <x v="19"/>
    <x v="2"/>
    <n v="491.05"/>
  </r>
  <r>
    <x v="1"/>
    <x v="7"/>
    <x v="2"/>
    <x v="2"/>
    <x v="28"/>
    <x v="3"/>
    <n v="488.2"/>
  </r>
  <r>
    <x v="9"/>
    <x v="2"/>
    <x v="0"/>
    <x v="2"/>
    <x v="16"/>
    <x v="6"/>
    <n v="490.7"/>
  </r>
  <r>
    <x v="4"/>
    <x v="4"/>
    <x v="4"/>
    <x v="0"/>
    <x v="4"/>
    <x v="3"/>
    <n v="497.85"/>
  </r>
  <r>
    <x v="3"/>
    <x v="0"/>
    <x v="4"/>
    <x v="2"/>
    <x v="22"/>
    <x v="3"/>
    <n v="481.65"/>
  </r>
  <r>
    <x v="4"/>
    <x v="4"/>
    <x v="5"/>
    <x v="3"/>
    <x v="16"/>
    <x v="6"/>
    <n v="502.45"/>
  </r>
  <r>
    <x v="9"/>
    <x v="5"/>
    <x v="3"/>
    <x v="2"/>
    <x v="25"/>
    <x v="0"/>
    <n v="483.9"/>
  </r>
  <r>
    <x v="7"/>
    <x v="3"/>
    <x v="0"/>
    <x v="1"/>
    <x v="29"/>
    <x v="6"/>
    <n v="496.3"/>
  </r>
  <r>
    <x v="2"/>
    <x v="2"/>
    <x v="0"/>
    <x v="1"/>
    <x v="30"/>
    <x v="6"/>
    <n v="497.55"/>
  </r>
  <r>
    <x v="5"/>
    <x v="2"/>
    <x v="4"/>
    <x v="0"/>
    <x v="10"/>
    <x v="1"/>
    <n v="491.95"/>
  </r>
  <r>
    <x v="7"/>
    <x v="6"/>
    <x v="1"/>
    <x v="0"/>
    <x v="17"/>
    <x v="4"/>
    <n v="485.75"/>
  </r>
  <r>
    <x v="0"/>
    <x v="3"/>
    <x v="3"/>
    <x v="0"/>
    <x v="13"/>
    <x v="4"/>
    <n v="495.9"/>
  </r>
  <r>
    <x v="8"/>
    <x v="3"/>
    <x v="0"/>
    <x v="2"/>
    <x v="31"/>
    <x v="1"/>
    <n v="501.85"/>
  </r>
  <r>
    <x v="8"/>
    <x v="3"/>
    <x v="4"/>
    <x v="2"/>
    <x v="31"/>
    <x v="1"/>
    <n v="498.55"/>
  </r>
  <r>
    <x v="8"/>
    <x v="3"/>
    <x v="0"/>
    <x v="1"/>
    <x v="24"/>
    <x v="5"/>
    <n v="502.1"/>
  </r>
  <r>
    <x v="3"/>
    <x v="5"/>
    <x v="3"/>
    <x v="1"/>
    <x v="8"/>
    <x v="1"/>
    <n v="482.35"/>
  </r>
  <r>
    <x v="8"/>
    <x v="3"/>
    <x v="3"/>
    <x v="3"/>
    <x v="13"/>
    <x v="4"/>
    <n v="503.5"/>
  </r>
  <r>
    <x v="1"/>
    <x v="7"/>
    <x v="2"/>
    <x v="3"/>
    <x v="25"/>
    <x v="0"/>
    <n v="489.05"/>
  </r>
  <r>
    <x v="5"/>
    <x v="1"/>
    <x v="5"/>
    <x v="1"/>
    <x v="4"/>
    <x v="3"/>
    <n v="498.45"/>
  </r>
  <r>
    <x v="6"/>
    <x v="2"/>
    <x v="5"/>
    <x v="2"/>
    <x v="4"/>
    <x v="3"/>
    <n v="497.65"/>
  </r>
  <r>
    <x v="3"/>
    <x v="0"/>
    <x v="4"/>
    <x v="2"/>
    <x v="1"/>
    <x v="1"/>
    <n v="480.55"/>
  </r>
  <r>
    <x v="7"/>
    <x v="0"/>
    <x v="3"/>
    <x v="2"/>
    <x v="0"/>
    <x v="0"/>
    <n v="487.4"/>
  </r>
  <r>
    <x v="4"/>
    <x v="4"/>
    <x v="2"/>
    <x v="1"/>
    <x v="13"/>
    <x v="4"/>
    <n v="498.95"/>
  </r>
  <r>
    <x v="7"/>
    <x v="6"/>
    <x v="2"/>
    <x v="2"/>
    <x v="1"/>
    <x v="1"/>
    <n v="486.4"/>
  </r>
  <r>
    <x v="2"/>
    <x v="2"/>
    <x v="0"/>
    <x v="2"/>
    <x v="5"/>
    <x v="4"/>
    <n v="499.2"/>
  </r>
  <r>
    <x v="1"/>
    <x v="7"/>
    <x v="0"/>
    <x v="2"/>
    <x v="31"/>
    <x v="1"/>
    <n v="488.45"/>
  </r>
  <r>
    <x v="9"/>
    <x v="6"/>
    <x v="2"/>
    <x v="0"/>
    <x v="6"/>
    <x v="0"/>
    <n v="486.2"/>
  </r>
  <r>
    <x v="2"/>
    <x v="2"/>
    <x v="0"/>
    <x v="0"/>
    <x v="12"/>
    <x v="4"/>
    <n v="499.1"/>
  </r>
  <r>
    <x v="4"/>
    <x v="4"/>
    <x v="3"/>
    <x v="1"/>
    <x v="8"/>
    <x v="1"/>
    <n v="498.8"/>
  </r>
  <r>
    <x v="2"/>
    <x v="3"/>
    <x v="1"/>
    <x v="3"/>
    <x v="9"/>
    <x v="5"/>
    <n v="496.05"/>
  </r>
  <r>
    <x v="6"/>
    <x v="2"/>
    <x v="3"/>
    <x v="0"/>
    <x v="24"/>
    <x v="5"/>
    <n v="494.55"/>
  </r>
  <r>
    <x v="0"/>
    <x v="5"/>
    <x v="2"/>
    <x v="0"/>
    <x v="12"/>
    <x v="4"/>
    <n v="483.5"/>
  </r>
  <r>
    <x v="5"/>
    <x v="1"/>
    <x v="2"/>
    <x v="0"/>
    <x v="7"/>
    <x v="5"/>
    <n v="491.75"/>
  </r>
  <r>
    <x v="2"/>
    <x v="2"/>
    <x v="3"/>
    <x v="2"/>
    <x v="32"/>
    <x v="2"/>
    <n v="497.3"/>
  </r>
  <r>
    <x v="3"/>
    <x v="3"/>
    <x v="0"/>
    <x v="1"/>
    <x v="15"/>
    <x v="2"/>
    <n v="496.5"/>
  </r>
  <r>
    <x v="5"/>
    <x v="3"/>
    <x v="0"/>
    <x v="2"/>
    <x v="26"/>
    <x v="6"/>
    <n v="498.75"/>
  </r>
  <r>
    <x v="9"/>
    <x v="3"/>
    <x v="5"/>
    <x v="0"/>
    <x v="26"/>
    <x v="6"/>
    <n v="495.7"/>
  </r>
  <r>
    <x v="6"/>
    <x v="4"/>
    <x v="2"/>
    <x v="0"/>
    <x v="10"/>
    <x v="1"/>
    <n v="494.05"/>
  </r>
  <r>
    <x v="6"/>
    <x v="4"/>
    <x v="4"/>
    <x v="0"/>
    <x v="10"/>
    <x v="1"/>
    <n v="491.85"/>
  </r>
  <r>
    <x v="6"/>
    <x v="2"/>
    <x v="5"/>
    <x v="3"/>
    <x v="16"/>
    <x v="6"/>
    <n v="496.95"/>
  </r>
  <r>
    <x v="3"/>
    <x v="7"/>
    <x v="0"/>
    <x v="2"/>
    <x v="0"/>
    <x v="0"/>
    <n v="488.15"/>
  </r>
  <r>
    <x v="0"/>
    <x v="0"/>
    <x v="3"/>
    <x v="2"/>
    <x v="33"/>
    <x v="0"/>
    <n v="486.1"/>
  </r>
  <r>
    <x v="1"/>
    <x v="7"/>
    <x v="0"/>
    <x v="1"/>
    <x v="9"/>
    <x v="5"/>
    <n v="490.7"/>
  </r>
  <r>
    <x v="2"/>
    <x v="2"/>
    <x v="3"/>
    <x v="0"/>
    <x v="27"/>
    <x v="6"/>
    <n v="495.85"/>
  </r>
  <r>
    <x v="3"/>
    <x v="7"/>
    <x v="5"/>
    <x v="3"/>
    <x v="32"/>
    <x v="2"/>
    <n v="491.75"/>
  </r>
  <r>
    <x v="8"/>
    <x v="3"/>
    <x v="2"/>
    <x v="0"/>
    <x v="27"/>
    <x v="6"/>
    <n v="501.2"/>
  </r>
  <r>
    <x v="6"/>
    <x v="6"/>
    <x v="0"/>
    <x v="3"/>
    <x v="5"/>
    <x v="4"/>
    <n v="494.35"/>
  </r>
  <r>
    <x v="4"/>
    <x v="4"/>
    <x v="3"/>
    <x v="3"/>
    <x v="34"/>
    <x v="2"/>
    <n v="502.25"/>
  </r>
  <r>
    <x v="4"/>
    <x v="4"/>
    <x v="2"/>
    <x v="2"/>
    <x v="31"/>
    <x v="1"/>
    <n v="496.55"/>
  </r>
  <r>
    <x v="6"/>
    <x v="6"/>
    <x v="4"/>
    <x v="2"/>
    <x v="28"/>
    <x v="3"/>
    <n v="488.65"/>
  </r>
  <r>
    <x v="8"/>
    <x v="3"/>
    <x v="3"/>
    <x v="0"/>
    <x v="6"/>
    <x v="0"/>
    <n v="504.35"/>
  </r>
  <r>
    <x v="3"/>
    <x v="0"/>
    <x v="5"/>
    <x v="2"/>
    <x v="33"/>
    <x v="0"/>
    <n v="488.55"/>
  </r>
  <r>
    <x v="4"/>
    <x v="3"/>
    <x v="4"/>
    <x v="2"/>
    <x v="31"/>
    <x v="1"/>
    <n v="496.75"/>
  </r>
  <r>
    <x v="6"/>
    <x v="6"/>
    <x v="4"/>
    <x v="3"/>
    <x v="16"/>
    <x v="6"/>
    <n v="489"/>
  </r>
  <r>
    <x v="4"/>
    <x v="3"/>
    <x v="1"/>
    <x v="2"/>
    <x v="7"/>
    <x v="5"/>
    <n v="496.2"/>
  </r>
  <r>
    <x v="5"/>
    <x v="4"/>
    <x v="0"/>
    <x v="3"/>
    <x v="22"/>
    <x v="3"/>
    <n v="499.6"/>
  </r>
  <r>
    <x v="4"/>
    <x v="3"/>
    <x v="3"/>
    <x v="2"/>
    <x v="27"/>
    <x v="6"/>
    <n v="500"/>
  </r>
  <r>
    <x v="7"/>
    <x v="4"/>
    <x v="4"/>
    <x v="1"/>
    <x v="13"/>
    <x v="4"/>
    <n v="492.4"/>
  </r>
  <r>
    <x v="7"/>
    <x v="0"/>
    <x v="1"/>
    <x v="2"/>
    <x v="27"/>
    <x v="6"/>
    <n v="481.55"/>
  </r>
  <r>
    <x v="7"/>
    <x v="0"/>
    <x v="5"/>
    <x v="0"/>
    <x v="24"/>
    <x v="5"/>
    <n v="489.85"/>
  </r>
  <r>
    <x v="8"/>
    <x v="3"/>
    <x v="2"/>
    <x v="0"/>
    <x v="21"/>
    <x v="4"/>
    <n v="500.95"/>
  </r>
  <r>
    <x v="3"/>
    <x v="7"/>
    <x v="3"/>
    <x v="2"/>
    <x v="35"/>
    <x v="3"/>
    <n v="486.05"/>
  </r>
  <r>
    <x v="0"/>
    <x v="0"/>
    <x v="4"/>
    <x v="1"/>
    <x v="6"/>
    <x v="0"/>
    <n v="483.4"/>
  </r>
  <r>
    <x v="0"/>
    <x v="6"/>
    <x v="0"/>
    <x v="1"/>
    <x v="0"/>
    <x v="0"/>
    <n v="490.95"/>
  </r>
  <r>
    <x v="1"/>
    <x v="2"/>
    <x v="1"/>
    <x v="3"/>
    <x v="12"/>
    <x v="4"/>
    <n v="490.85"/>
  </r>
  <r>
    <x v="4"/>
    <x v="4"/>
    <x v="4"/>
    <x v="2"/>
    <x v="32"/>
    <x v="2"/>
    <n v="498.7"/>
  </r>
  <r>
    <x v="4"/>
    <x v="4"/>
    <x v="0"/>
    <x v="2"/>
    <x v="2"/>
    <x v="1"/>
    <n v="499.85"/>
  </r>
  <r>
    <x v="4"/>
    <x v="3"/>
    <x v="4"/>
    <x v="2"/>
    <x v="16"/>
    <x v="6"/>
    <n v="496.65"/>
  </r>
  <r>
    <x v="2"/>
    <x v="2"/>
    <x v="3"/>
    <x v="0"/>
    <x v="6"/>
    <x v="0"/>
    <n v="498.7"/>
  </r>
  <r>
    <x v="7"/>
    <x v="3"/>
    <x v="3"/>
    <x v="1"/>
    <x v="19"/>
    <x v="2"/>
    <n v="497.95"/>
  </r>
  <r>
    <x v="7"/>
    <x v="2"/>
    <x v="3"/>
    <x v="1"/>
    <x v="11"/>
    <x v="5"/>
    <n v="493.45"/>
  </r>
  <r>
    <x v="9"/>
    <x v="3"/>
    <x v="5"/>
    <x v="0"/>
    <x v="2"/>
    <x v="1"/>
    <n v="495.55"/>
  </r>
  <r>
    <x v="6"/>
    <x v="6"/>
    <x v="5"/>
    <x v="1"/>
    <x v="27"/>
    <x v="6"/>
    <n v="494.95"/>
  </r>
  <r>
    <x v="6"/>
    <x v="6"/>
    <x v="1"/>
    <x v="1"/>
    <x v="34"/>
    <x v="2"/>
    <n v="489.05"/>
  </r>
  <r>
    <x v="0"/>
    <x v="0"/>
    <x v="3"/>
    <x v="2"/>
    <x v="28"/>
    <x v="3"/>
    <n v="485.4"/>
  </r>
  <r>
    <x v="7"/>
    <x v="0"/>
    <x v="0"/>
    <x v="0"/>
    <x v="6"/>
    <x v="0"/>
    <n v="488.8"/>
  </r>
  <r>
    <x v="3"/>
    <x v="6"/>
    <x v="4"/>
    <x v="3"/>
    <x v="8"/>
    <x v="1"/>
    <n v="483.3"/>
  </r>
  <r>
    <x v="0"/>
    <x v="7"/>
    <x v="2"/>
    <x v="0"/>
    <x v="29"/>
    <x v="6"/>
    <n v="485.5"/>
  </r>
  <r>
    <x v="6"/>
    <x v="3"/>
    <x v="0"/>
    <x v="3"/>
    <x v="10"/>
    <x v="1"/>
    <n v="498.4"/>
  </r>
  <r>
    <x v="1"/>
    <x v="1"/>
    <x v="5"/>
    <x v="2"/>
    <x v="33"/>
    <x v="0"/>
    <n v="495.8"/>
  </r>
  <r>
    <x v="7"/>
    <x v="4"/>
    <x v="5"/>
    <x v="2"/>
    <x v="31"/>
    <x v="1"/>
    <n v="495.25"/>
  </r>
  <r>
    <x v="8"/>
    <x v="3"/>
    <x v="0"/>
    <x v="0"/>
    <x v="18"/>
    <x v="5"/>
    <n v="504.8"/>
  </r>
  <r>
    <x v="7"/>
    <x v="0"/>
    <x v="5"/>
    <x v="3"/>
    <x v="34"/>
    <x v="2"/>
    <n v="491.2"/>
  </r>
  <r>
    <x v="0"/>
    <x v="5"/>
    <x v="3"/>
    <x v="2"/>
    <x v="17"/>
    <x v="4"/>
    <n v="486.55"/>
  </r>
  <r>
    <x v="9"/>
    <x v="3"/>
    <x v="1"/>
    <x v="2"/>
    <x v="7"/>
    <x v="5"/>
    <n v="487.75"/>
  </r>
  <r>
    <x v="2"/>
    <x v="4"/>
    <x v="4"/>
    <x v="3"/>
    <x v="14"/>
    <x v="3"/>
    <n v="496.2"/>
  </r>
  <r>
    <x v="8"/>
    <x v="3"/>
    <x v="1"/>
    <x v="3"/>
    <x v="23"/>
    <x v="0"/>
    <n v="498.85"/>
  </r>
  <r>
    <x v="8"/>
    <x v="3"/>
    <x v="4"/>
    <x v="3"/>
    <x v="21"/>
    <x v="4"/>
    <n v="501.7"/>
  </r>
  <r>
    <x v="8"/>
    <x v="3"/>
    <x v="4"/>
    <x v="1"/>
    <x v="0"/>
    <x v="0"/>
    <n v="499.25"/>
  </r>
  <r>
    <x v="6"/>
    <x v="6"/>
    <x v="1"/>
    <x v="2"/>
    <x v="2"/>
    <x v="1"/>
    <n v="485.1"/>
  </r>
  <r>
    <x v="2"/>
    <x v="2"/>
    <x v="0"/>
    <x v="2"/>
    <x v="30"/>
    <x v="6"/>
    <n v="497.35"/>
  </r>
  <r>
    <x v="0"/>
    <x v="5"/>
    <x v="4"/>
    <x v="0"/>
    <x v="15"/>
    <x v="2"/>
    <n v="483.15"/>
  </r>
  <r>
    <x v="1"/>
    <x v="1"/>
    <x v="1"/>
    <x v="0"/>
    <x v="30"/>
    <x v="6"/>
    <n v="487.6"/>
  </r>
  <r>
    <x v="4"/>
    <x v="4"/>
    <x v="4"/>
    <x v="0"/>
    <x v="17"/>
    <x v="4"/>
    <n v="497.8"/>
  </r>
  <r>
    <x v="2"/>
    <x v="2"/>
    <x v="2"/>
    <x v="3"/>
    <x v="26"/>
    <x v="6"/>
    <n v="494.3"/>
  </r>
  <r>
    <x v="2"/>
    <x v="2"/>
    <x v="0"/>
    <x v="1"/>
    <x v="12"/>
    <x v="4"/>
    <n v="499.2"/>
  </r>
  <r>
    <x v="6"/>
    <x v="2"/>
    <x v="3"/>
    <x v="0"/>
    <x v="8"/>
    <x v="1"/>
    <n v="493.7"/>
  </r>
  <r>
    <x v="3"/>
    <x v="0"/>
    <x v="4"/>
    <x v="0"/>
    <x v="22"/>
    <x v="3"/>
    <n v="481.95"/>
  </r>
  <r>
    <x v="2"/>
    <x v="3"/>
    <x v="2"/>
    <x v="0"/>
    <x v="6"/>
    <x v="0"/>
    <n v="499.4"/>
  </r>
  <r>
    <x v="7"/>
    <x v="3"/>
    <x v="3"/>
    <x v="0"/>
    <x v="0"/>
    <x v="0"/>
    <n v="496.75"/>
  </r>
  <r>
    <x v="0"/>
    <x v="5"/>
    <x v="3"/>
    <x v="2"/>
    <x v="6"/>
    <x v="0"/>
    <n v="485.65"/>
  </r>
  <r>
    <x v="7"/>
    <x v="4"/>
    <x v="4"/>
    <x v="3"/>
    <x v="2"/>
    <x v="1"/>
    <n v="491.3"/>
  </r>
  <r>
    <x v="8"/>
    <x v="3"/>
    <x v="1"/>
    <x v="2"/>
    <x v="16"/>
    <x v="6"/>
    <n v="496.35"/>
  </r>
  <r>
    <x v="1"/>
    <x v="7"/>
    <x v="4"/>
    <x v="2"/>
    <x v="17"/>
    <x v="4"/>
    <n v="487.05"/>
  </r>
  <r>
    <x v="0"/>
    <x v="4"/>
    <x v="2"/>
    <x v="1"/>
    <x v="4"/>
    <x v="3"/>
    <n v="492.8"/>
  </r>
  <r>
    <x v="6"/>
    <x v="6"/>
    <x v="3"/>
    <x v="2"/>
    <x v="32"/>
    <x v="2"/>
    <n v="493.75"/>
  </r>
  <r>
    <x v="0"/>
    <x v="2"/>
    <x v="4"/>
    <x v="0"/>
    <x v="20"/>
    <x v="1"/>
    <n v="487.45"/>
  </r>
  <r>
    <x v="3"/>
    <x v="5"/>
    <x v="1"/>
    <x v="1"/>
    <x v="27"/>
    <x v="6"/>
    <n v="478"/>
  </r>
  <r>
    <x v="2"/>
    <x v="2"/>
    <x v="4"/>
    <x v="2"/>
    <x v="25"/>
    <x v="0"/>
    <n v="494"/>
  </r>
  <r>
    <x v="3"/>
    <x v="6"/>
    <x v="0"/>
    <x v="1"/>
    <x v="6"/>
    <x v="0"/>
    <n v="491.35"/>
  </r>
  <r>
    <x v="1"/>
    <x v="4"/>
    <x v="1"/>
    <x v="0"/>
    <x v="24"/>
    <x v="5"/>
    <n v="489.75"/>
  </r>
  <r>
    <x v="7"/>
    <x v="6"/>
    <x v="2"/>
    <x v="3"/>
    <x v="14"/>
    <x v="3"/>
    <n v="488.8"/>
  </r>
  <r>
    <x v="2"/>
    <x v="3"/>
    <x v="3"/>
    <x v="3"/>
    <x v="35"/>
    <x v="3"/>
    <n v="501.45"/>
  </r>
  <r>
    <x v="7"/>
    <x v="0"/>
    <x v="4"/>
    <x v="0"/>
    <x v="9"/>
    <x v="5"/>
    <n v="484.65"/>
  </r>
  <r>
    <x v="4"/>
    <x v="4"/>
    <x v="1"/>
    <x v="1"/>
    <x v="14"/>
    <x v="3"/>
    <n v="496.25"/>
  </r>
  <r>
    <x v="6"/>
    <x v="6"/>
    <x v="0"/>
    <x v="1"/>
    <x v="27"/>
    <x v="6"/>
    <n v="494"/>
  </r>
  <r>
    <x v="1"/>
    <x v="7"/>
    <x v="1"/>
    <x v="0"/>
    <x v="17"/>
    <x v="4"/>
    <n v="486.75"/>
  </r>
  <r>
    <x v="8"/>
    <x v="3"/>
    <x v="5"/>
    <x v="0"/>
    <x v="32"/>
    <x v="2"/>
    <n v="507.55"/>
  </r>
  <r>
    <x v="3"/>
    <x v="3"/>
    <x v="0"/>
    <x v="1"/>
    <x v="26"/>
    <x v="6"/>
    <n v="496"/>
  </r>
  <r>
    <x v="3"/>
    <x v="5"/>
    <x v="2"/>
    <x v="2"/>
    <x v="10"/>
    <x v="1"/>
    <n v="479.75"/>
  </r>
  <r>
    <x v="8"/>
    <x v="3"/>
    <x v="3"/>
    <x v="3"/>
    <x v="22"/>
    <x v="3"/>
    <n v="501.55"/>
  </r>
  <r>
    <x v="1"/>
    <x v="1"/>
    <x v="2"/>
    <x v="2"/>
    <x v="4"/>
    <x v="3"/>
    <n v="490.7"/>
  </r>
  <r>
    <x v="1"/>
    <x v="4"/>
    <x v="4"/>
    <x v="3"/>
    <x v="3"/>
    <x v="2"/>
    <n v="494.7"/>
  </r>
  <r>
    <x v="3"/>
    <x v="4"/>
    <x v="1"/>
    <x v="0"/>
    <x v="10"/>
    <x v="1"/>
    <n v="486.5"/>
  </r>
  <r>
    <x v="3"/>
    <x v="4"/>
    <x v="5"/>
    <x v="0"/>
    <x v="12"/>
    <x v="4"/>
    <n v="496.2"/>
  </r>
  <r>
    <x v="5"/>
    <x v="1"/>
    <x v="0"/>
    <x v="2"/>
    <x v="0"/>
    <x v="0"/>
    <n v="495.95"/>
  </r>
  <r>
    <x v="1"/>
    <x v="7"/>
    <x v="0"/>
    <x v="1"/>
    <x v="12"/>
    <x v="4"/>
    <n v="491.85"/>
  </r>
  <r>
    <x v="4"/>
    <x v="4"/>
    <x v="1"/>
    <x v="2"/>
    <x v="30"/>
    <x v="6"/>
    <n v="492.7"/>
  </r>
  <r>
    <x v="1"/>
    <x v="6"/>
    <x v="5"/>
    <x v="0"/>
    <x v="31"/>
    <x v="1"/>
    <n v="492.6"/>
  </r>
  <r>
    <x v="6"/>
    <x v="6"/>
    <x v="1"/>
    <x v="2"/>
    <x v="1"/>
    <x v="1"/>
    <n v="484.95"/>
  </r>
  <r>
    <x v="0"/>
    <x v="4"/>
    <x v="4"/>
    <x v="3"/>
    <x v="30"/>
    <x v="6"/>
    <n v="489.1"/>
  </r>
  <r>
    <x v="7"/>
    <x v="0"/>
    <x v="2"/>
    <x v="0"/>
    <x v="19"/>
    <x v="2"/>
    <n v="487.85"/>
  </r>
  <r>
    <x v="8"/>
    <x v="3"/>
    <x v="0"/>
    <x v="2"/>
    <x v="22"/>
    <x v="3"/>
    <n v="504.85"/>
  </r>
  <r>
    <x v="1"/>
    <x v="4"/>
    <x v="4"/>
    <x v="0"/>
    <x v="28"/>
    <x v="3"/>
    <n v="493.4"/>
  </r>
  <r>
    <x v="2"/>
    <x v="2"/>
    <x v="2"/>
    <x v="2"/>
    <x v="11"/>
    <x v="5"/>
    <n v="495.3"/>
  </r>
  <r>
    <x v="0"/>
    <x v="7"/>
    <x v="4"/>
    <x v="0"/>
    <x v="7"/>
    <x v="5"/>
    <n v="484.45"/>
  </r>
  <r>
    <x v="8"/>
    <x v="3"/>
    <x v="5"/>
    <x v="3"/>
    <x v="26"/>
    <x v="6"/>
    <n v="504.8"/>
  </r>
  <r>
    <x v="0"/>
    <x v="7"/>
    <x v="0"/>
    <x v="1"/>
    <x v="7"/>
    <x v="5"/>
    <n v="489.45"/>
  </r>
  <r>
    <x v="8"/>
    <x v="3"/>
    <x v="1"/>
    <x v="2"/>
    <x v="5"/>
    <x v="4"/>
    <n v="497.35"/>
  </r>
  <r>
    <x v="4"/>
    <x v="4"/>
    <x v="1"/>
    <x v="2"/>
    <x v="21"/>
    <x v="4"/>
    <n v="496.15"/>
  </r>
  <r>
    <x v="1"/>
    <x v="6"/>
    <x v="2"/>
    <x v="0"/>
    <x v="1"/>
    <x v="1"/>
    <n v="487.95"/>
  </r>
  <r>
    <x v="4"/>
    <x v="4"/>
    <x v="3"/>
    <x v="1"/>
    <x v="16"/>
    <x v="6"/>
    <n v="499.35"/>
  </r>
  <r>
    <x v="0"/>
    <x v="3"/>
    <x v="5"/>
    <x v="3"/>
    <x v="16"/>
    <x v="6"/>
    <n v="497.2"/>
  </r>
  <r>
    <x v="7"/>
    <x v="6"/>
    <x v="2"/>
    <x v="3"/>
    <x v="18"/>
    <x v="5"/>
    <n v="488.8"/>
  </r>
  <r>
    <x v="3"/>
    <x v="0"/>
    <x v="3"/>
    <x v="0"/>
    <x v="11"/>
    <x v="5"/>
    <n v="485.25"/>
  </r>
  <r>
    <x v="3"/>
    <x v="7"/>
    <x v="4"/>
    <x v="2"/>
    <x v="3"/>
    <x v="2"/>
    <n v="485"/>
  </r>
  <r>
    <x v="6"/>
    <x v="6"/>
    <x v="5"/>
    <x v="1"/>
    <x v="12"/>
    <x v="4"/>
    <n v="496.85"/>
  </r>
  <r>
    <x v="2"/>
    <x v="2"/>
    <x v="4"/>
    <x v="2"/>
    <x v="29"/>
    <x v="6"/>
    <n v="492.5"/>
  </r>
  <r>
    <x v="7"/>
    <x v="7"/>
    <x v="0"/>
    <x v="1"/>
    <x v="7"/>
    <x v="5"/>
    <n v="490.6"/>
  </r>
  <r>
    <x v="7"/>
    <x v="1"/>
    <x v="5"/>
    <x v="0"/>
    <x v="29"/>
    <x v="6"/>
    <n v="493.5"/>
  </r>
  <r>
    <x v="6"/>
    <x v="4"/>
    <x v="3"/>
    <x v="2"/>
    <x v="26"/>
    <x v="6"/>
    <n v="495.8"/>
  </r>
  <r>
    <x v="0"/>
    <x v="1"/>
    <x v="0"/>
    <x v="0"/>
    <x v="15"/>
    <x v="2"/>
    <n v="493.85"/>
  </r>
  <r>
    <x v="2"/>
    <x v="2"/>
    <x v="1"/>
    <x v="1"/>
    <x v="0"/>
    <x v="0"/>
    <n v="494.35"/>
  </r>
  <r>
    <x v="0"/>
    <x v="5"/>
    <x v="3"/>
    <x v="3"/>
    <x v="21"/>
    <x v="4"/>
    <n v="485.7"/>
  </r>
  <r>
    <x v="8"/>
    <x v="3"/>
    <x v="2"/>
    <x v="0"/>
    <x v="1"/>
    <x v="1"/>
    <n v="499.7"/>
  </r>
  <r>
    <x v="8"/>
    <x v="3"/>
    <x v="1"/>
    <x v="0"/>
    <x v="5"/>
    <x v="4"/>
    <n v="499.05"/>
  </r>
  <r>
    <x v="0"/>
    <x v="7"/>
    <x v="1"/>
    <x v="0"/>
    <x v="29"/>
    <x v="6"/>
    <n v="482.9"/>
  </r>
  <r>
    <x v="5"/>
    <x v="1"/>
    <x v="2"/>
    <x v="3"/>
    <x v="10"/>
    <x v="1"/>
    <n v="492.85"/>
  </r>
  <r>
    <x v="8"/>
    <x v="3"/>
    <x v="5"/>
    <x v="3"/>
    <x v="19"/>
    <x v="2"/>
    <n v="508.15"/>
  </r>
  <r>
    <x v="8"/>
    <x v="3"/>
    <x v="1"/>
    <x v="0"/>
    <x v="31"/>
    <x v="1"/>
    <n v="497.45"/>
  </r>
  <r>
    <x v="1"/>
    <x v="7"/>
    <x v="3"/>
    <x v="1"/>
    <x v="24"/>
    <x v="5"/>
    <n v="489.65"/>
  </r>
  <r>
    <x v="6"/>
    <x v="2"/>
    <x v="0"/>
    <x v="3"/>
    <x v="26"/>
    <x v="6"/>
    <n v="496.3"/>
  </r>
  <r>
    <x v="0"/>
    <x v="7"/>
    <x v="1"/>
    <x v="2"/>
    <x v="13"/>
    <x v="4"/>
    <n v="483.95"/>
  </r>
  <r>
    <x v="7"/>
    <x v="6"/>
    <x v="3"/>
    <x v="3"/>
    <x v="15"/>
    <x v="2"/>
    <n v="492.6"/>
  </r>
  <r>
    <x v="7"/>
    <x v="1"/>
    <x v="4"/>
    <x v="1"/>
    <x v="28"/>
    <x v="3"/>
    <n v="488.8"/>
  </r>
  <r>
    <x v="8"/>
    <x v="3"/>
    <x v="3"/>
    <x v="2"/>
    <x v="28"/>
    <x v="3"/>
    <n v="503.15"/>
  </r>
  <r>
    <x v="5"/>
    <x v="1"/>
    <x v="0"/>
    <x v="1"/>
    <x v="30"/>
    <x v="6"/>
    <n v="495.05"/>
  </r>
  <r>
    <x v="8"/>
    <x v="3"/>
    <x v="3"/>
    <x v="3"/>
    <x v="20"/>
    <x v="1"/>
    <n v="501.7"/>
  </r>
  <r>
    <x v="3"/>
    <x v="7"/>
    <x v="2"/>
    <x v="2"/>
    <x v="20"/>
    <x v="1"/>
    <n v="483.1"/>
  </r>
  <r>
    <x v="6"/>
    <x v="6"/>
    <x v="0"/>
    <x v="2"/>
    <x v="29"/>
    <x v="6"/>
    <n v="491.55"/>
  </r>
  <r>
    <x v="7"/>
    <x v="2"/>
    <x v="5"/>
    <x v="3"/>
    <x v="27"/>
    <x v="6"/>
    <n v="495.45"/>
  </r>
  <r>
    <x v="8"/>
    <x v="3"/>
    <x v="4"/>
    <x v="2"/>
    <x v="23"/>
    <x v="0"/>
    <n v="498.35"/>
  </r>
  <r>
    <x v="7"/>
    <x v="1"/>
    <x v="2"/>
    <x v="2"/>
    <x v="22"/>
    <x v="3"/>
    <n v="490.45"/>
  </r>
  <r>
    <x v="8"/>
    <x v="3"/>
    <x v="5"/>
    <x v="2"/>
    <x v="14"/>
    <x v="3"/>
    <n v="504.9"/>
  </r>
  <r>
    <x v="4"/>
    <x v="3"/>
    <x v="3"/>
    <x v="2"/>
    <x v="26"/>
    <x v="6"/>
    <n v="500.35"/>
  </r>
  <r>
    <x v="5"/>
    <x v="2"/>
    <x v="0"/>
    <x v="2"/>
    <x v="28"/>
    <x v="3"/>
    <n v="497.55"/>
  </r>
  <r>
    <x v="0"/>
    <x v="3"/>
    <x v="4"/>
    <x v="1"/>
    <x v="29"/>
    <x v="6"/>
    <n v="492.2"/>
  </r>
  <r>
    <x v="6"/>
    <x v="6"/>
    <x v="2"/>
    <x v="2"/>
    <x v="14"/>
    <x v="3"/>
    <n v="490.25"/>
  </r>
  <r>
    <x v="8"/>
    <x v="3"/>
    <x v="5"/>
    <x v="2"/>
    <x v="32"/>
    <x v="2"/>
    <n v="505.85"/>
  </r>
  <r>
    <x v="7"/>
    <x v="0"/>
    <x v="5"/>
    <x v="1"/>
    <x v="19"/>
    <x v="2"/>
    <n v="492.05"/>
  </r>
  <r>
    <x v="8"/>
    <x v="3"/>
    <x v="4"/>
    <x v="0"/>
    <x v="19"/>
    <x v="2"/>
    <n v="500.45"/>
  </r>
  <r>
    <x v="6"/>
    <x v="3"/>
    <x v="3"/>
    <x v="1"/>
    <x v="27"/>
    <x v="6"/>
    <n v="498.85"/>
  </r>
  <r>
    <x v="4"/>
    <x v="4"/>
    <x v="4"/>
    <x v="0"/>
    <x v="28"/>
    <x v="3"/>
    <n v="496.35"/>
  </r>
  <r>
    <x v="9"/>
    <x v="7"/>
    <x v="5"/>
    <x v="2"/>
    <x v="9"/>
    <x v="5"/>
    <n v="488.1"/>
  </r>
  <r>
    <x v="2"/>
    <x v="2"/>
    <x v="1"/>
    <x v="2"/>
    <x v="21"/>
    <x v="4"/>
    <n v="492.15"/>
  </r>
  <r>
    <x v="7"/>
    <x v="3"/>
    <x v="2"/>
    <x v="2"/>
    <x v="6"/>
    <x v="0"/>
    <n v="495.45"/>
  </r>
  <r>
    <x v="4"/>
    <x v="4"/>
    <x v="4"/>
    <x v="2"/>
    <x v="34"/>
    <x v="2"/>
    <n v="497.6"/>
  </r>
  <r>
    <x v="8"/>
    <x v="3"/>
    <x v="5"/>
    <x v="0"/>
    <x v="19"/>
    <x v="2"/>
    <n v="505.8"/>
  </r>
  <r>
    <x v="2"/>
    <x v="4"/>
    <x v="3"/>
    <x v="2"/>
    <x v="22"/>
    <x v="3"/>
    <n v="497.65"/>
  </r>
  <r>
    <x v="1"/>
    <x v="1"/>
    <x v="5"/>
    <x v="0"/>
    <x v="7"/>
    <x v="5"/>
    <n v="495.2"/>
  </r>
  <r>
    <x v="8"/>
    <x v="3"/>
    <x v="3"/>
    <x v="1"/>
    <x v="10"/>
    <x v="1"/>
    <n v="501.25"/>
  </r>
  <r>
    <x v="5"/>
    <x v="1"/>
    <x v="4"/>
    <x v="0"/>
    <x v="26"/>
    <x v="6"/>
    <n v="489.95"/>
  </r>
  <r>
    <x v="7"/>
    <x v="6"/>
    <x v="3"/>
    <x v="3"/>
    <x v="32"/>
    <x v="2"/>
    <n v="491.75"/>
  </r>
  <r>
    <x v="5"/>
    <x v="1"/>
    <x v="0"/>
    <x v="0"/>
    <x v="34"/>
    <x v="2"/>
    <n v="497.4"/>
  </r>
  <r>
    <x v="6"/>
    <x v="6"/>
    <x v="0"/>
    <x v="1"/>
    <x v="6"/>
    <x v="0"/>
    <n v="493.5"/>
  </r>
  <r>
    <x v="8"/>
    <x v="3"/>
    <x v="0"/>
    <x v="0"/>
    <x v="18"/>
    <x v="5"/>
    <n v="503.7"/>
  </r>
  <r>
    <x v="5"/>
    <x v="1"/>
    <x v="1"/>
    <x v="1"/>
    <x v="20"/>
    <x v="1"/>
    <n v="488.6"/>
  </r>
  <r>
    <x v="5"/>
    <x v="4"/>
    <x v="4"/>
    <x v="3"/>
    <x v="25"/>
    <x v="0"/>
    <n v="495.6"/>
  </r>
  <r>
    <x v="7"/>
    <x v="3"/>
    <x v="5"/>
    <x v="3"/>
    <x v="27"/>
    <x v="6"/>
    <n v="499.95"/>
  </r>
  <r>
    <x v="4"/>
    <x v="3"/>
    <x v="5"/>
    <x v="3"/>
    <x v="35"/>
    <x v="3"/>
    <n v="505.05"/>
  </r>
  <r>
    <x v="0"/>
    <x v="6"/>
    <x v="1"/>
    <x v="0"/>
    <x v="13"/>
    <x v="4"/>
    <n v="485.35"/>
  </r>
  <r>
    <x v="7"/>
    <x v="6"/>
    <x v="3"/>
    <x v="2"/>
    <x v="13"/>
    <x v="4"/>
    <n v="491.45"/>
  </r>
  <r>
    <x v="0"/>
    <x v="4"/>
    <x v="1"/>
    <x v="1"/>
    <x v="27"/>
    <x v="6"/>
    <n v="488.5"/>
  </r>
  <r>
    <x v="0"/>
    <x v="5"/>
    <x v="3"/>
    <x v="2"/>
    <x v="34"/>
    <x v="2"/>
    <n v="486.3"/>
  </r>
  <r>
    <x v="5"/>
    <x v="3"/>
    <x v="3"/>
    <x v="1"/>
    <x v="18"/>
    <x v="5"/>
    <n v="499.55"/>
  </r>
  <r>
    <x v="0"/>
    <x v="0"/>
    <x v="2"/>
    <x v="0"/>
    <x v="23"/>
    <x v="0"/>
    <n v="485"/>
  </r>
  <r>
    <x v="8"/>
    <x v="3"/>
    <x v="5"/>
    <x v="0"/>
    <x v="32"/>
    <x v="2"/>
    <n v="508"/>
  </r>
  <r>
    <x v="4"/>
    <x v="4"/>
    <x v="0"/>
    <x v="2"/>
    <x v="9"/>
    <x v="5"/>
    <n v="500.35"/>
  </r>
  <r>
    <x v="1"/>
    <x v="7"/>
    <x v="3"/>
    <x v="2"/>
    <x v="28"/>
    <x v="3"/>
    <n v="489.65"/>
  </r>
  <r>
    <x v="6"/>
    <x v="6"/>
    <x v="2"/>
    <x v="0"/>
    <x v="33"/>
    <x v="0"/>
    <n v="490.3"/>
  </r>
  <r>
    <x v="6"/>
    <x v="6"/>
    <x v="5"/>
    <x v="2"/>
    <x v="26"/>
    <x v="6"/>
    <n v="494.3"/>
  </r>
  <r>
    <x v="1"/>
    <x v="6"/>
    <x v="0"/>
    <x v="0"/>
    <x v="12"/>
    <x v="4"/>
    <n v="493.25"/>
  </r>
  <r>
    <x v="1"/>
    <x v="2"/>
    <x v="3"/>
    <x v="1"/>
    <x v="35"/>
    <x v="3"/>
    <n v="494.05"/>
  </r>
  <r>
    <x v="3"/>
    <x v="0"/>
    <x v="3"/>
    <x v="2"/>
    <x v="16"/>
    <x v="6"/>
    <n v="484.85"/>
  </r>
  <r>
    <x v="7"/>
    <x v="2"/>
    <x v="1"/>
    <x v="2"/>
    <x v="29"/>
    <x v="6"/>
    <n v="486.7"/>
  </r>
  <r>
    <x v="4"/>
    <x v="3"/>
    <x v="1"/>
    <x v="0"/>
    <x v="32"/>
    <x v="2"/>
    <n v="498.35"/>
  </r>
  <r>
    <x v="2"/>
    <x v="2"/>
    <x v="5"/>
    <x v="0"/>
    <x v="33"/>
    <x v="0"/>
    <n v="499.35"/>
  </r>
  <r>
    <x v="6"/>
    <x v="1"/>
    <x v="0"/>
    <x v="1"/>
    <x v="20"/>
    <x v="1"/>
    <n v="492.6"/>
  </r>
  <r>
    <x v="9"/>
    <x v="2"/>
    <x v="3"/>
    <x v="1"/>
    <x v="19"/>
    <x v="2"/>
    <n v="492.2"/>
  </r>
  <r>
    <x v="8"/>
    <x v="3"/>
    <x v="5"/>
    <x v="2"/>
    <x v="15"/>
    <x v="2"/>
    <n v="507.4"/>
  </r>
  <r>
    <x v="8"/>
    <x v="3"/>
    <x v="5"/>
    <x v="0"/>
    <x v="11"/>
    <x v="5"/>
    <n v="505.9"/>
  </r>
  <r>
    <x v="9"/>
    <x v="4"/>
    <x v="4"/>
    <x v="1"/>
    <x v="29"/>
    <x v="6"/>
    <n v="488.7"/>
  </r>
  <r>
    <x v="2"/>
    <x v="4"/>
    <x v="1"/>
    <x v="1"/>
    <x v="1"/>
    <x v="1"/>
    <n v="492.65"/>
  </r>
  <r>
    <x v="8"/>
    <x v="3"/>
    <x v="0"/>
    <x v="2"/>
    <x v="10"/>
    <x v="1"/>
    <n v="501.25"/>
  </r>
  <r>
    <x v="0"/>
    <x v="0"/>
    <x v="3"/>
    <x v="0"/>
    <x v="26"/>
    <x v="6"/>
    <n v="485.6"/>
  </r>
  <r>
    <x v="7"/>
    <x v="6"/>
    <x v="5"/>
    <x v="1"/>
    <x v="11"/>
    <x v="5"/>
    <n v="493.4"/>
  </r>
  <r>
    <x v="4"/>
    <x v="4"/>
    <x v="3"/>
    <x v="2"/>
    <x v="11"/>
    <x v="5"/>
    <n v="498.7"/>
  </r>
  <r>
    <x v="0"/>
    <x v="1"/>
    <x v="4"/>
    <x v="0"/>
    <x v="32"/>
    <x v="2"/>
    <n v="488.6"/>
  </r>
  <r>
    <x v="7"/>
    <x v="1"/>
    <x v="0"/>
    <x v="2"/>
    <x v="15"/>
    <x v="2"/>
    <n v="494.1"/>
  </r>
  <r>
    <x v="5"/>
    <x v="1"/>
    <x v="5"/>
    <x v="1"/>
    <x v="10"/>
    <x v="1"/>
    <n v="496.15"/>
  </r>
  <r>
    <x v="9"/>
    <x v="7"/>
    <x v="3"/>
    <x v="0"/>
    <x v="9"/>
    <x v="5"/>
    <n v="485.25"/>
  </r>
  <r>
    <x v="2"/>
    <x v="2"/>
    <x v="1"/>
    <x v="0"/>
    <x v="9"/>
    <x v="5"/>
    <n v="491.15"/>
  </r>
  <r>
    <x v="8"/>
    <x v="3"/>
    <x v="4"/>
    <x v="2"/>
    <x v="34"/>
    <x v="2"/>
    <n v="500.85"/>
  </r>
  <r>
    <x v="5"/>
    <x v="3"/>
    <x v="0"/>
    <x v="0"/>
    <x v="2"/>
    <x v="1"/>
    <n v="500"/>
  </r>
  <r>
    <x v="6"/>
    <x v="3"/>
    <x v="4"/>
    <x v="0"/>
    <x v="17"/>
    <x v="4"/>
    <n v="495.95"/>
  </r>
  <r>
    <x v="7"/>
    <x v="1"/>
    <x v="1"/>
    <x v="0"/>
    <x v="21"/>
    <x v="4"/>
    <n v="487.7"/>
  </r>
  <r>
    <x v="6"/>
    <x v="4"/>
    <x v="0"/>
    <x v="0"/>
    <x v="13"/>
    <x v="4"/>
    <n v="498.5"/>
  </r>
  <r>
    <x v="4"/>
    <x v="3"/>
    <x v="4"/>
    <x v="0"/>
    <x v="18"/>
    <x v="5"/>
    <n v="497.9"/>
  </r>
  <r>
    <x v="4"/>
    <x v="3"/>
    <x v="2"/>
    <x v="0"/>
    <x v="28"/>
    <x v="3"/>
    <n v="499.95"/>
  </r>
  <r>
    <x v="7"/>
    <x v="6"/>
    <x v="1"/>
    <x v="2"/>
    <x v="15"/>
    <x v="2"/>
    <n v="486.7"/>
  </r>
  <r>
    <x v="0"/>
    <x v="2"/>
    <x v="1"/>
    <x v="2"/>
    <x v="7"/>
    <x v="5"/>
    <n v="487.65"/>
  </r>
  <r>
    <x v="0"/>
    <x v="1"/>
    <x v="1"/>
    <x v="1"/>
    <x v="32"/>
    <x v="2"/>
    <n v="487.25"/>
  </r>
  <r>
    <x v="5"/>
    <x v="3"/>
    <x v="2"/>
    <x v="1"/>
    <x v="16"/>
    <x v="6"/>
    <n v="496.3"/>
  </r>
  <r>
    <x v="7"/>
    <x v="0"/>
    <x v="2"/>
    <x v="0"/>
    <x v="25"/>
    <x v="0"/>
    <n v="485.6"/>
  </r>
  <r>
    <x v="9"/>
    <x v="5"/>
    <x v="3"/>
    <x v="1"/>
    <x v="1"/>
    <x v="1"/>
    <n v="481.4"/>
  </r>
  <r>
    <x v="6"/>
    <x v="6"/>
    <x v="5"/>
    <x v="1"/>
    <x v="34"/>
    <x v="2"/>
    <n v="496.05"/>
  </r>
  <r>
    <x v="7"/>
    <x v="4"/>
    <x v="4"/>
    <x v="0"/>
    <x v="0"/>
    <x v="0"/>
    <n v="491.9"/>
  </r>
  <r>
    <x v="6"/>
    <x v="6"/>
    <x v="3"/>
    <x v="2"/>
    <x v="9"/>
    <x v="5"/>
    <n v="490.85"/>
  </r>
  <r>
    <x v="1"/>
    <x v="7"/>
    <x v="4"/>
    <x v="1"/>
    <x v="30"/>
    <x v="6"/>
    <n v="485.6"/>
  </r>
  <r>
    <x v="5"/>
    <x v="1"/>
    <x v="5"/>
    <x v="1"/>
    <x v="24"/>
    <x v="5"/>
    <n v="497.5"/>
  </r>
  <r>
    <x v="3"/>
    <x v="6"/>
    <x v="2"/>
    <x v="2"/>
    <x v="29"/>
    <x v="6"/>
    <n v="484.95"/>
  </r>
  <r>
    <x v="5"/>
    <x v="1"/>
    <x v="5"/>
    <x v="0"/>
    <x v="23"/>
    <x v="0"/>
    <n v="498.85"/>
  </r>
  <r>
    <x v="8"/>
    <x v="3"/>
    <x v="2"/>
    <x v="1"/>
    <x v="1"/>
    <x v="1"/>
    <n v="500.05"/>
  </r>
  <r>
    <x v="7"/>
    <x v="7"/>
    <x v="5"/>
    <x v="1"/>
    <x v="4"/>
    <x v="3"/>
    <n v="491.55"/>
  </r>
  <r>
    <x v="2"/>
    <x v="2"/>
    <x v="3"/>
    <x v="2"/>
    <x v="7"/>
    <x v="5"/>
    <n v="495.35"/>
  </r>
  <r>
    <x v="0"/>
    <x v="0"/>
    <x v="0"/>
    <x v="2"/>
    <x v="18"/>
    <x v="5"/>
    <n v="487.25"/>
  </r>
  <r>
    <x v="7"/>
    <x v="1"/>
    <x v="3"/>
    <x v="0"/>
    <x v="18"/>
    <x v="5"/>
    <n v="491.5"/>
  </r>
  <r>
    <x v="7"/>
    <x v="1"/>
    <x v="4"/>
    <x v="3"/>
    <x v="12"/>
    <x v="4"/>
    <n v="490.7"/>
  </r>
  <r>
    <x v="8"/>
    <x v="3"/>
    <x v="3"/>
    <x v="2"/>
    <x v="4"/>
    <x v="3"/>
    <n v="502.05"/>
  </r>
  <r>
    <x v="7"/>
    <x v="4"/>
    <x v="1"/>
    <x v="1"/>
    <x v="2"/>
    <x v="1"/>
    <n v="489.25"/>
  </r>
  <r>
    <x v="2"/>
    <x v="2"/>
    <x v="4"/>
    <x v="2"/>
    <x v="21"/>
    <x v="4"/>
    <n v="494.7"/>
  </r>
  <r>
    <x v="5"/>
    <x v="3"/>
    <x v="5"/>
    <x v="0"/>
    <x v="31"/>
    <x v="1"/>
    <n v="500.9"/>
  </r>
  <r>
    <x v="9"/>
    <x v="6"/>
    <x v="4"/>
    <x v="2"/>
    <x v="10"/>
    <x v="1"/>
    <n v="482.05"/>
  </r>
  <r>
    <x v="5"/>
    <x v="1"/>
    <x v="0"/>
    <x v="1"/>
    <x v="5"/>
    <x v="4"/>
    <n v="496.75"/>
  </r>
  <r>
    <x v="4"/>
    <x v="4"/>
    <x v="2"/>
    <x v="1"/>
    <x v="22"/>
    <x v="3"/>
    <n v="498.95"/>
  </r>
  <r>
    <x v="4"/>
    <x v="4"/>
    <x v="5"/>
    <x v="0"/>
    <x v="6"/>
    <x v="0"/>
    <n v="504.2"/>
  </r>
  <r>
    <x v="8"/>
    <x v="3"/>
    <x v="4"/>
    <x v="2"/>
    <x v="31"/>
    <x v="1"/>
    <n v="497.85"/>
  </r>
  <r>
    <x v="5"/>
    <x v="1"/>
    <x v="5"/>
    <x v="3"/>
    <x v="21"/>
    <x v="4"/>
    <n v="499.7"/>
  </r>
  <r>
    <x v="7"/>
    <x v="7"/>
    <x v="5"/>
    <x v="2"/>
    <x v="7"/>
    <x v="5"/>
    <n v="491.05"/>
  </r>
  <r>
    <x v="9"/>
    <x v="0"/>
    <x v="5"/>
    <x v="3"/>
    <x v="22"/>
    <x v="3"/>
    <n v="487.7"/>
  </r>
  <r>
    <x v="2"/>
    <x v="2"/>
    <x v="2"/>
    <x v="0"/>
    <x v="32"/>
    <x v="2"/>
    <n v="498"/>
  </r>
  <r>
    <x v="6"/>
    <x v="6"/>
    <x v="3"/>
    <x v="1"/>
    <x v="24"/>
    <x v="5"/>
    <n v="492.55"/>
  </r>
  <r>
    <x v="6"/>
    <x v="4"/>
    <x v="5"/>
    <x v="2"/>
    <x v="18"/>
    <x v="5"/>
    <n v="498.9"/>
  </r>
  <r>
    <x v="3"/>
    <x v="3"/>
    <x v="1"/>
    <x v="1"/>
    <x v="19"/>
    <x v="2"/>
    <n v="490.5"/>
  </r>
  <r>
    <x v="1"/>
    <x v="1"/>
    <x v="0"/>
    <x v="2"/>
    <x v="24"/>
    <x v="5"/>
    <n v="493.15"/>
  </r>
  <r>
    <x v="0"/>
    <x v="1"/>
    <x v="2"/>
    <x v="1"/>
    <x v="1"/>
    <x v="1"/>
    <n v="487"/>
  </r>
  <r>
    <x v="0"/>
    <x v="0"/>
    <x v="4"/>
    <x v="0"/>
    <x v="22"/>
    <x v="3"/>
    <n v="482.75"/>
  </r>
  <r>
    <x v="3"/>
    <x v="5"/>
    <x v="2"/>
    <x v="2"/>
    <x v="11"/>
    <x v="5"/>
    <n v="480.55"/>
  </r>
  <r>
    <x v="4"/>
    <x v="4"/>
    <x v="4"/>
    <x v="2"/>
    <x v="3"/>
    <x v="2"/>
    <n v="498.55"/>
  </r>
  <r>
    <x v="1"/>
    <x v="7"/>
    <x v="2"/>
    <x v="2"/>
    <x v="33"/>
    <x v="0"/>
    <n v="489.05"/>
  </r>
  <r>
    <x v="1"/>
    <x v="1"/>
    <x v="4"/>
    <x v="3"/>
    <x v="31"/>
    <x v="1"/>
    <n v="489.5"/>
  </r>
  <r>
    <x v="7"/>
    <x v="0"/>
    <x v="5"/>
    <x v="1"/>
    <x v="17"/>
    <x v="4"/>
    <n v="491.4"/>
  </r>
  <r>
    <x v="5"/>
    <x v="1"/>
    <x v="3"/>
    <x v="1"/>
    <x v="19"/>
    <x v="2"/>
    <n v="495.45"/>
  </r>
  <r>
    <x v="1"/>
    <x v="7"/>
    <x v="4"/>
    <x v="0"/>
    <x v="9"/>
    <x v="5"/>
    <n v="485.5"/>
  </r>
  <r>
    <x v="7"/>
    <x v="2"/>
    <x v="4"/>
    <x v="3"/>
    <x v="22"/>
    <x v="3"/>
    <n v="491.3"/>
  </r>
  <r>
    <x v="1"/>
    <x v="6"/>
    <x v="1"/>
    <x v="0"/>
    <x v="10"/>
    <x v="1"/>
    <n v="485.55"/>
  </r>
  <r>
    <x v="9"/>
    <x v="6"/>
    <x v="4"/>
    <x v="0"/>
    <x v="26"/>
    <x v="6"/>
    <n v="484.05"/>
  </r>
  <r>
    <x v="7"/>
    <x v="1"/>
    <x v="1"/>
    <x v="0"/>
    <x v="5"/>
    <x v="4"/>
    <n v="487.6"/>
  </r>
  <r>
    <x v="8"/>
    <x v="3"/>
    <x v="0"/>
    <x v="2"/>
    <x v="0"/>
    <x v="0"/>
    <n v="503.45"/>
  </r>
  <r>
    <x v="9"/>
    <x v="7"/>
    <x v="5"/>
    <x v="2"/>
    <x v="17"/>
    <x v="4"/>
    <n v="489.05"/>
  </r>
  <r>
    <x v="5"/>
    <x v="3"/>
    <x v="1"/>
    <x v="0"/>
    <x v="17"/>
    <x v="4"/>
    <n v="495.25"/>
  </r>
  <r>
    <x v="8"/>
    <x v="3"/>
    <x v="3"/>
    <x v="2"/>
    <x v="28"/>
    <x v="3"/>
    <n v="501.55"/>
  </r>
  <r>
    <x v="7"/>
    <x v="0"/>
    <x v="5"/>
    <x v="0"/>
    <x v="15"/>
    <x v="2"/>
    <n v="491.1"/>
  </r>
  <r>
    <x v="5"/>
    <x v="1"/>
    <x v="1"/>
    <x v="2"/>
    <x v="22"/>
    <x v="3"/>
    <n v="491.05"/>
  </r>
  <r>
    <x v="3"/>
    <x v="2"/>
    <x v="5"/>
    <x v="2"/>
    <x v="25"/>
    <x v="0"/>
    <n v="495.05"/>
  </r>
  <r>
    <x v="1"/>
    <x v="4"/>
    <x v="5"/>
    <x v="1"/>
    <x v="19"/>
    <x v="2"/>
    <n v="501.25"/>
  </r>
  <r>
    <x v="1"/>
    <x v="4"/>
    <x v="5"/>
    <x v="0"/>
    <x v="22"/>
    <x v="3"/>
    <n v="498.15"/>
  </r>
  <r>
    <x v="1"/>
    <x v="1"/>
    <x v="0"/>
    <x v="0"/>
    <x v="15"/>
    <x v="2"/>
    <n v="496.15"/>
  </r>
  <r>
    <x v="3"/>
    <x v="6"/>
    <x v="3"/>
    <x v="0"/>
    <x v="27"/>
    <x v="6"/>
    <n v="486.35"/>
  </r>
  <r>
    <x v="8"/>
    <x v="3"/>
    <x v="2"/>
    <x v="0"/>
    <x v="33"/>
    <x v="0"/>
    <n v="499.85"/>
  </r>
  <r>
    <x v="7"/>
    <x v="7"/>
    <x v="2"/>
    <x v="1"/>
    <x v="1"/>
    <x v="1"/>
    <n v="485.65"/>
  </r>
  <r>
    <x v="0"/>
    <x v="3"/>
    <x v="1"/>
    <x v="1"/>
    <x v="31"/>
    <x v="1"/>
    <n v="489.55"/>
  </r>
  <r>
    <x v="0"/>
    <x v="3"/>
    <x v="5"/>
    <x v="3"/>
    <x v="31"/>
    <x v="1"/>
    <n v="498.3"/>
  </r>
  <r>
    <x v="6"/>
    <x v="6"/>
    <x v="1"/>
    <x v="2"/>
    <x v="32"/>
    <x v="2"/>
    <n v="488.75"/>
  </r>
  <r>
    <x v="1"/>
    <x v="6"/>
    <x v="0"/>
    <x v="1"/>
    <x v="14"/>
    <x v="3"/>
    <n v="492.15"/>
  </r>
  <r>
    <x v="3"/>
    <x v="7"/>
    <x v="0"/>
    <x v="1"/>
    <x v="35"/>
    <x v="3"/>
    <n v="487.85"/>
  </r>
  <r>
    <x v="1"/>
    <x v="1"/>
    <x v="4"/>
    <x v="3"/>
    <x v="20"/>
    <x v="1"/>
    <n v="487.25"/>
  </r>
  <r>
    <x v="7"/>
    <x v="4"/>
    <x v="0"/>
    <x v="3"/>
    <x v="23"/>
    <x v="0"/>
    <n v="496"/>
  </r>
  <r>
    <x v="7"/>
    <x v="0"/>
    <x v="4"/>
    <x v="1"/>
    <x v="8"/>
    <x v="1"/>
    <n v="483.35"/>
  </r>
  <r>
    <x v="5"/>
    <x v="4"/>
    <x v="3"/>
    <x v="2"/>
    <x v="23"/>
    <x v="0"/>
    <n v="496.65"/>
  </r>
  <r>
    <x v="7"/>
    <x v="0"/>
    <x v="1"/>
    <x v="0"/>
    <x v="10"/>
    <x v="1"/>
    <n v="482"/>
  </r>
  <r>
    <x v="6"/>
    <x v="6"/>
    <x v="3"/>
    <x v="1"/>
    <x v="32"/>
    <x v="2"/>
    <n v="494.2"/>
  </r>
  <r>
    <x v="7"/>
    <x v="0"/>
    <x v="0"/>
    <x v="2"/>
    <x v="11"/>
    <x v="5"/>
    <n v="488.25"/>
  </r>
  <r>
    <x v="8"/>
    <x v="3"/>
    <x v="3"/>
    <x v="1"/>
    <x v="26"/>
    <x v="6"/>
    <n v="501.7"/>
  </r>
  <r>
    <x v="5"/>
    <x v="1"/>
    <x v="3"/>
    <x v="0"/>
    <x v="35"/>
    <x v="3"/>
    <n v="495"/>
  </r>
  <r>
    <x v="6"/>
    <x v="6"/>
    <x v="3"/>
    <x v="0"/>
    <x v="17"/>
    <x v="4"/>
    <n v="493.1"/>
  </r>
  <r>
    <x v="3"/>
    <x v="6"/>
    <x v="0"/>
    <x v="1"/>
    <x v="8"/>
    <x v="1"/>
    <n v="489.35"/>
  </r>
  <r>
    <x v="1"/>
    <x v="3"/>
    <x v="5"/>
    <x v="2"/>
    <x v="35"/>
    <x v="3"/>
    <n v="499.15"/>
  </r>
  <r>
    <x v="8"/>
    <x v="3"/>
    <x v="3"/>
    <x v="1"/>
    <x v="19"/>
    <x v="2"/>
    <n v="504.55"/>
  </r>
  <r>
    <x v="0"/>
    <x v="0"/>
    <x v="4"/>
    <x v="1"/>
    <x v="34"/>
    <x v="2"/>
    <n v="483.8"/>
  </r>
  <r>
    <x v="3"/>
    <x v="1"/>
    <x v="0"/>
    <x v="1"/>
    <x v="29"/>
    <x v="6"/>
    <n v="489.75"/>
  </r>
  <r>
    <x v="6"/>
    <x v="1"/>
    <x v="3"/>
    <x v="2"/>
    <x v="4"/>
    <x v="3"/>
    <n v="493.45"/>
  </r>
  <r>
    <x v="7"/>
    <x v="0"/>
    <x v="5"/>
    <x v="1"/>
    <x v="17"/>
    <x v="4"/>
    <n v="492.55"/>
  </r>
  <r>
    <x v="9"/>
    <x v="1"/>
    <x v="0"/>
    <x v="1"/>
    <x v="0"/>
    <x v="0"/>
    <n v="491.7"/>
  </r>
  <r>
    <x v="6"/>
    <x v="6"/>
    <x v="2"/>
    <x v="0"/>
    <x v="20"/>
    <x v="1"/>
    <n v="489.85"/>
  </r>
  <r>
    <x v="6"/>
    <x v="4"/>
    <x v="5"/>
    <x v="1"/>
    <x v="35"/>
    <x v="3"/>
    <n v="499.9"/>
  </r>
  <r>
    <x v="8"/>
    <x v="3"/>
    <x v="4"/>
    <x v="1"/>
    <x v="25"/>
    <x v="0"/>
    <n v="500.8"/>
  </r>
  <r>
    <x v="1"/>
    <x v="3"/>
    <x v="3"/>
    <x v="2"/>
    <x v="4"/>
    <x v="3"/>
    <n v="498.15"/>
  </r>
  <r>
    <x v="3"/>
    <x v="4"/>
    <x v="2"/>
    <x v="0"/>
    <x v="21"/>
    <x v="4"/>
    <n v="492.3"/>
  </r>
  <r>
    <x v="8"/>
    <x v="3"/>
    <x v="2"/>
    <x v="0"/>
    <x v="24"/>
    <x v="5"/>
    <n v="500.95"/>
  </r>
  <r>
    <x v="6"/>
    <x v="6"/>
    <x v="0"/>
    <x v="1"/>
    <x v="28"/>
    <x v="3"/>
    <n v="492.55"/>
  </r>
  <r>
    <x v="5"/>
    <x v="1"/>
    <x v="2"/>
    <x v="3"/>
    <x v="2"/>
    <x v="1"/>
    <n v="493.1"/>
  </r>
  <r>
    <x v="0"/>
    <x v="3"/>
    <x v="4"/>
    <x v="0"/>
    <x v="32"/>
    <x v="2"/>
    <n v="494.15"/>
  </r>
  <r>
    <x v="7"/>
    <x v="6"/>
    <x v="4"/>
    <x v="3"/>
    <x v="9"/>
    <x v="5"/>
    <n v="486.8"/>
  </r>
  <r>
    <x v="4"/>
    <x v="4"/>
    <x v="1"/>
    <x v="1"/>
    <x v="3"/>
    <x v="2"/>
    <n v="496.95"/>
  </r>
  <r>
    <x v="3"/>
    <x v="6"/>
    <x v="4"/>
    <x v="3"/>
    <x v="7"/>
    <x v="5"/>
    <n v="484.95"/>
  </r>
  <r>
    <x v="9"/>
    <x v="5"/>
    <x v="5"/>
    <x v="0"/>
    <x v="12"/>
    <x v="4"/>
    <n v="486.75"/>
  </r>
  <r>
    <x v="0"/>
    <x v="0"/>
    <x v="2"/>
    <x v="2"/>
    <x v="13"/>
    <x v="4"/>
    <n v="485.05"/>
  </r>
  <r>
    <x v="1"/>
    <x v="3"/>
    <x v="4"/>
    <x v="3"/>
    <x v="23"/>
    <x v="0"/>
    <n v="495.15"/>
  </r>
  <r>
    <x v="3"/>
    <x v="5"/>
    <x v="0"/>
    <x v="2"/>
    <x v="15"/>
    <x v="2"/>
    <n v="487.4"/>
  </r>
  <r>
    <x v="6"/>
    <x v="6"/>
    <x v="1"/>
    <x v="2"/>
    <x v="4"/>
    <x v="3"/>
    <n v="486.5"/>
  </r>
  <r>
    <x v="7"/>
    <x v="0"/>
    <x v="2"/>
    <x v="2"/>
    <x v="35"/>
    <x v="3"/>
    <n v="484.7"/>
  </r>
  <r>
    <x v="6"/>
    <x v="6"/>
    <x v="1"/>
    <x v="2"/>
    <x v="14"/>
    <x v="3"/>
    <n v="486.8"/>
  </r>
  <r>
    <x v="6"/>
    <x v="2"/>
    <x v="2"/>
    <x v="2"/>
    <x v="4"/>
    <x v="3"/>
    <n v="494.2"/>
  </r>
  <r>
    <x v="2"/>
    <x v="2"/>
    <x v="0"/>
    <x v="3"/>
    <x v="12"/>
    <x v="4"/>
    <n v="500.4"/>
  </r>
  <r>
    <x v="4"/>
    <x v="4"/>
    <x v="1"/>
    <x v="2"/>
    <x v="8"/>
    <x v="1"/>
    <n v="494.25"/>
  </r>
  <r>
    <x v="7"/>
    <x v="1"/>
    <x v="3"/>
    <x v="3"/>
    <x v="25"/>
    <x v="0"/>
    <n v="492.75"/>
  </r>
  <r>
    <x v="3"/>
    <x v="4"/>
    <x v="5"/>
    <x v="2"/>
    <x v="6"/>
    <x v="0"/>
    <n v="495.6"/>
  </r>
  <r>
    <x v="5"/>
    <x v="2"/>
    <x v="5"/>
    <x v="2"/>
    <x v="34"/>
    <x v="2"/>
    <n v="500.5"/>
  </r>
  <r>
    <x v="8"/>
    <x v="3"/>
    <x v="2"/>
    <x v="2"/>
    <x v="29"/>
    <x v="6"/>
    <n v="501.05"/>
  </r>
  <r>
    <x v="4"/>
    <x v="4"/>
    <x v="3"/>
    <x v="2"/>
    <x v="25"/>
    <x v="0"/>
    <n v="500.45"/>
  </r>
  <r>
    <x v="3"/>
    <x v="1"/>
    <x v="1"/>
    <x v="3"/>
    <x v="22"/>
    <x v="3"/>
    <n v="485.15"/>
  </r>
  <r>
    <x v="2"/>
    <x v="4"/>
    <x v="3"/>
    <x v="1"/>
    <x v="17"/>
    <x v="4"/>
    <n v="499.9"/>
  </r>
  <r>
    <x v="2"/>
    <x v="2"/>
    <x v="3"/>
    <x v="0"/>
    <x v="8"/>
    <x v="1"/>
    <n v="495.6"/>
  </r>
  <r>
    <x v="2"/>
    <x v="2"/>
    <x v="1"/>
    <x v="2"/>
    <x v="34"/>
    <x v="2"/>
    <n v="494.7"/>
  </r>
  <r>
    <x v="6"/>
    <x v="1"/>
    <x v="0"/>
    <x v="2"/>
    <x v="16"/>
    <x v="6"/>
    <n v="494.55"/>
  </r>
  <r>
    <x v="2"/>
    <x v="2"/>
    <x v="3"/>
    <x v="2"/>
    <x v="23"/>
    <x v="0"/>
    <n v="496.65"/>
  </r>
  <r>
    <x v="1"/>
    <x v="7"/>
    <x v="3"/>
    <x v="1"/>
    <x v="34"/>
    <x v="2"/>
    <n v="491.6"/>
  </r>
  <r>
    <x v="7"/>
    <x v="2"/>
    <x v="0"/>
    <x v="1"/>
    <x v="8"/>
    <x v="1"/>
    <n v="492.6"/>
  </r>
  <r>
    <x v="8"/>
    <x v="3"/>
    <x v="3"/>
    <x v="2"/>
    <x v="35"/>
    <x v="3"/>
    <n v="502.75"/>
  </r>
  <r>
    <x v="7"/>
    <x v="4"/>
    <x v="3"/>
    <x v="3"/>
    <x v="7"/>
    <x v="5"/>
    <n v="495.25"/>
  </r>
  <r>
    <x v="6"/>
    <x v="6"/>
    <x v="3"/>
    <x v="0"/>
    <x v="34"/>
    <x v="2"/>
    <n v="493.95"/>
  </r>
  <r>
    <x v="6"/>
    <x v="1"/>
    <x v="5"/>
    <x v="0"/>
    <x v="3"/>
    <x v="2"/>
    <n v="498.85"/>
  </r>
  <r>
    <x v="6"/>
    <x v="6"/>
    <x v="4"/>
    <x v="2"/>
    <x v="30"/>
    <x v="6"/>
    <n v="487.1"/>
  </r>
  <r>
    <x v="6"/>
    <x v="2"/>
    <x v="0"/>
    <x v="3"/>
    <x v="32"/>
    <x v="2"/>
    <n v="499.35"/>
  </r>
  <r>
    <x v="6"/>
    <x v="2"/>
    <x v="3"/>
    <x v="1"/>
    <x v="8"/>
    <x v="1"/>
    <n v="493.95"/>
  </r>
  <r>
    <x v="3"/>
    <x v="6"/>
    <x v="5"/>
    <x v="0"/>
    <x v="0"/>
    <x v="0"/>
    <n v="491.45"/>
  </r>
  <r>
    <x v="8"/>
    <x v="3"/>
    <x v="0"/>
    <x v="1"/>
    <x v="28"/>
    <x v="3"/>
    <n v="502.5"/>
  </r>
  <r>
    <x v="2"/>
    <x v="2"/>
    <x v="2"/>
    <x v="2"/>
    <x v="13"/>
    <x v="4"/>
    <n v="495.9"/>
  </r>
  <r>
    <x v="3"/>
    <x v="0"/>
    <x v="2"/>
    <x v="2"/>
    <x v="33"/>
    <x v="0"/>
    <n v="484.45"/>
  </r>
  <r>
    <x v="0"/>
    <x v="4"/>
    <x v="3"/>
    <x v="1"/>
    <x v="9"/>
    <x v="5"/>
    <n v="493.35"/>
  </r>
  <r>
    <x v="7"/>
    <x v="2"/>
    <x v="5"/>
    <x v="1"/>
    <x v="23"/>
    <x v="0"/>
    <n v="496.35"/>
  </r>
  <r>
    <x v="4"/>
    <x v="4"/>
    <x v="5"/>
    <x v="1"/>
    <x v="9"/>
    <x v="5"/>
    <n v="503"/>
  </r>
  <r>
    <x v="3"/>
    <x v="1"/>
    <x v="0"/>
    <x v="3"/>
    <x v="35"/>
    <x v="3"/>
    <n v="491.9"/>
  </r>
  <r>
    <x v="3"/>
    <x v="6"/>
    <x v="0"/>
    <x v="2"/>
    <x v="26"/>
    <x v="6"/>
    <n v="488.5"/>
  </r>
  <r>
    <x v="8"/>
    <x v="3"/>
    <x v="5"/>
    <x v="2"/>
    <x v="28"/>
    <x v="3"/>
    <n v="504.15"/>
  </r>
  <r>
    <x v="0"/>
    <x v="1"/>
    <x v="0"/>
    <x v="0"/>
    <x v="26"/>
    <x v="6"/>
    <n v="490.3"/>
  </r>
  <r>
    <x v="8"/>
    <x v="3"/>
    <x v="5"/>
    <x v="0"/>
    <x v="11"/>
    <x v="5"/>
    <n v="504.55"/>
  </r>
  <r>
    <x v="8"/>
    <x v="3"/>
    <x v="4"/>
    <x v="0"/>
    <x v="14"/>
    <x v="3"/>
    <n v="498.15"/>
  </r>
  <r>
    <x v="3"/>
    <x v="2"/>
    <x v="5"/>
    <x v="0"/>
    <x v="21"/>
    <x v="4"/>
    <n v="494.65"/>
  </r>
  <r>
    <x v="7"/>
    <x v="2"/>
    <x v="2"/>
    <x v="1"/>
    <x v="12"/>
    <x v="4"/>
    <n v="492.9"/>
  </r>
  <r>
    <x v="1"/>
    <x v="4"/>
    <x v="0"/>
    <x v="2"/>
    <x v="27"/>
    <x v="6"/>
    <n v="496.45"/>
  </r>
  <r>
    <x v="9"/>
    <x v="4"/>
    <x v="5"/>
    <x v="2"/>
    <x v="26"/>
    <x v="6"/>
    <n v="493.7"/>
  </r>
  <r>
    <x v="7"/>
    <x v="4"/>
    <x v="5"/>
    <x v="0"/>
    <x v="21"/>
    <x v="4"/>
    <n v="498.4"/>
  </r>
  <r>
    <x v="0"/>
    <x v="6"/>
    <x v="0"/>
    <x v="1"/>
    <x v="22"/>
    <x v="3"/>
    <n v="490.95"/>
  </r>
  <r>
    <x v="2"/>
    <x v="2"/>
    <x v="4"/>
    <x v="2"/>
    <x v="3"/>
    <x v="2"/>
    <n v="494.55"/>
  </r>
  <r>
    <x v="2"/>
    <x v="2"/>
    <x v="4"/>
    <x v="2"/>
    <x v="17"/>
    <x v="4"/>
    <n v="495.5"/>
  </r>
  <r>
    <x v="3"/>
    <x v="7"/>
    <x v="0"/>
    <x v="1"/>
    <x v="34"/>
    <x v="2"/>
    <n v="489.45"/>
  </r>
  <r>
    <x v="1"/>
    <x v="7"/>
    <x v="1"/>
    <x v="0"/>
    <x v="16"/>
    <x v="6"/>
    <n v="483.5"/>
  </r>
  <r>
    <x v="5"/>
    <x v="1"/>
    <x v="0"/>
    <x v="2"/>
    <x v="34"/>
    <x v="2"/>
    <n v="497.15"/>
  </r>
  <r>
    <x v="5"/>
    <x v="1"/>
    <x v="0"/>
    <x v="3"/>
    <x v="14"/>
    <x v="3"/>
    <n v="497.4"/>
  </r>
  <r>
    <x v="5"/>
    <x v="1"/>
    <x v="4"/>
    <x v="0"/>
    <x v="27"/>
    <x v="6"/>
    <n v="491.1"/>
  </r>
  <r>
    <x v="1"/>
    <x v="7"/>
    <x v="4"/>
    <x v="2"/>
    <x v="28"/>
    <x v="3"/>
    <n v="486.6"/>
  </r>
  <r>
    <x v="6"/>
    <x v="1"/>
    <x v="0"/>
    <x v="2"/>
    <x v="29"/>
    <x v="6"/>
    <n v="494.05"/>
  </r>
  <r>
    <x v="0"/>
    <x v="2"/>
    <x v="0"/>
    <x v="0"/>
    <x v="25"/>
    <x v="0"/>
    <n v="494.65"/>
  </r>
  <r>
    <x v="6"/>
    <x v="6"/>
    <x v="0"/>
    <x v="3"/>
    <x v="13"/>
    <x v="4"/>
    <n v="494"/>
  </r>
  <r>
    <x v="6"/>
    <x v="6"/>
    <x v="4"/>
    <x v="1"/>
    <x v="15"/>
    <x v="2"/>
    <n v="491.3"/>
  </r>
  <r>
    <x v="4"/>
    <x v="4"/>
    <x v="0"/>
    <x v="2"/>
    <x v="21"/>
    <x v="4"/>
    <n v="501.65"/>
  </r>
  <r>
    <x v="2"/>
    <x v="2"/>
    <x v="0"/>
    <x v="1"/>
    <x v="10"/>
    <x v="1"/>
    <n v="498.15"/>
  </r>
  <r>
    <x v="8"/>
    <x v="3"/>
    <x v="3"/>
    <x v="2"/>
    <x v="24"/>
    <x v="5"/>
    <n v="502.55"/>
  </r>
  <r>
    <x v="8"/>
    <x v="3"/>
    <x v="1"/>
    <x v="0"/>
    <x v="20"/>
    <x v="1"/>
    <n v="497.35"/>
  </r>
  <r>
    <x v="9"/>
    <x v="5"/>
    <x v="2"/>
    <x v="1"/>
    <x v="4"/>
    <x v="3"/>
    <n v="481.65"/>
  </r>
  <r>
    <x v="7"/>
    <x v="6"/>
    <x v="1"/>
    <x v="3"/>
    <x v="3"/>
    <x v="2"/>
    <n v="486.95"/>
  </r>
  <r>
    <x v="7"/>
    <x v="6"/>
    <x v="3"/>
    <x v="1"/>
    <x v="11"/>
    <x v="5"/>
    <n v="490.3"/>
  </r>
  <r>
    <x v="9"/>
    <x v="5"/>
    <x v="2"/>
    <x v="2"/>
    <x v="21"/>
    <x v="4"/>
    <n v="481.95"/>
  </r>
  <r>
    <x v="6"/>
    <x v="2"/>
    <x v="0"/>
    <x v="2"/>
    <x v="7"/>
    <x v="5"/>
    <n v="495.55"/>
  </r>
  <r>
    <x v="0"/>
    <x v="3"/>
    <x v="3"/>
    <x v="3"/>
    <x v="27"/>
    <x v="6"/>
    <n v="494.4"/>
  </r>
  <r>
    <x v="3"/>
    <x v="7"/>
    <x v="0"/>
    <x v="2"/>
    <x v="29"/>
    <x v="6"/>
    <n v="486.65"/>
  </r>
  <r>
    <x v="8"/>
    <x v="3"/>
    <x v="4"/>
    <x v="3"/>
    <x v="26"/>
    <x v="6"/>
    <n v="499.85"/>
  </r>
  <r>
    <x v="2"/>
    <x v="2"/>
    <x v="5"/>
    <x v="3"/>
    <x v="28"/>
    <x v="3"/>
    <n v="499.25"/>
  </r>
  <r>
    <x v="0"/>
    <x v="2"/>
    <x v="3"/>
    <x v="0"/>
    <x v="29"/>
    <x v="6"/>
    <n v="491.55"/>
  </r>
  <r>
    <x v="8"/>
    <x v="3"/>
    <x v="4"/>
    <x v="0"/>
    <x v="28"/>
    <x v="3"/>
    <n v="498.35"/>
  </r>
  <r>
    <x v="6"/>
    <x v="6"/>
    <x v="3"/>
    <x v="0"/>
    <x v="35"/>
    <x v="3"/>
    <n v="493"/>
  </r>
  <r>
    <x v="1"/>
    <x v="2"/>
    <x v="3"/>
    <x v="0"/>
    <x v="28"/>
    <x v="3"/>
    <n v="493.35"/>
  </r>
  <r>
    <x v="8"/>
    <x v="3"/>
    <x v="4"/>
    <x v="0"/>
    <x v="20"/>
    <x v="1"/>
    <n v="498.1"/>
  </r>
  <r>
    <x v="2"/>
    <x v="2"/>
    <x v="2"/>
    <x v="1"/>
    <x v="3"/>
    <x v="2"/>
    <n v="498.4"/>
  </r>
  <r>
    <x v="6"/>
    <x v="6"/>
    <x v="1"/>
    <x v="2"/>
    <x v="30"/>
    <x v="6"/>
    <n v="485.25"/>
  </r>
  <r>
    <x v="2"/>
    <x v="2"/>
    <x v="0"/>
    <x v="0"/>
    <x v="10"/>
    <x v="1"/>
    <n v="495.9"/>
  </r>
  <r>
    <x v="0"/>
    <x v="2"/>
    <x v="3"/>
    <x v="1"/>
    <x v="7"/>
    <x v="5"/>
    <n v="492.55"/>
  </r>
  <r>
    <x v="6"/>
    <x v="2"/>
    <x v="0"/>
    <x v="2"/>
    <x v="15"/>
    <x v="2"/>
    <n v="498.5"/>
  </r>
  <r>
    <x v="1"/>
    <x v="1"/>
    <x v="5"/>
    <x v="2"/>
    <x v="17"/>
    <x v="4"/>
    <n v="496.9"/>
  </r>
  <r>
    <x v="2"/>
    <x v="2"/>
    <x v="4"/>
    <x v="2"/>
    <x v="33"/>
    <x v="0"/>
    <n v="494.15"/>
  </r>
  <r>
    <x v="1"/>
    <x v="7"/>
    <x v="0"/>
    <x v="1"/>
    <x v="29"/>
    <x v="6"/>
    <n v="490.95"/>
  </r>
  <r>
    <x v="8"/>
    <x v="3"/>
    <x v="4"/>
    <x v="0"/>
    <x v="21"/>
    <x v="4"/>
    <n v="499.35"/>
  </r>
  <r>
    <x v="9"/>
    <x v="5"/>
    <x v="0"/>
    <x v="0"/>
    <x v="5"/>
    <x v="4"/>
    <n v="485.45"/>
  </r>
  <r>
    <x v="1"/>
    <x v="7"/>
    <x v="1"/>
    <x v="2"/>
    <x v="8"/>
    <x v="1"/>
    <n v="483.25"/>
  </r>
  <r>
    <x v="3"/>
    <x v="7"/>
    <x v="1"/>
    <x v="0"/>
    <x v="31"/>
    <x v="1"/>
    <n v="480.2"/>
  </r>
  <r>
    <x v="8"/>
    <x v="3"/>
    <x v="1"/>
    <x v="1"/>
    <x v="17"/>
    <x v="4"/>
    <n v="498.4"/>
  </r>
  <r>
    <x v="2"/>
    <x v="4"/>
    <x v="1"/>
    <x v="3"/>
    <x v="1"/>
    <x v="1"/>
    <n v="492.7"/>
  </r>
  <r>
    <x v="2"/>
    <x v="2"/>
    <x v="1"/>
    <x v="1"/>
    <x v="3"/>
    <x v="2"/>
    <n v="493.4"/>
  </r>
  <r>
    <x v="6"/>
    <x v="6"/>
    <x v="1"/>
    <x v="1"/>
    <x v="26"/>
    <x v="6"/>
    <n v="486"/>
  </r>
  <r>
    <x v="6"/>
    <x v="6"/>
    <x v="4"/>
    <x v="2"/>
    <x v="32"/>
    <x v="2"/>
    <n v="489.2"/>
  </r>
  <r>
    <x v="9"/>
    <x v="1"/>
    <x v="3"/>
    <x v="2"/>
    <x v="19"/>
    <x v="2"/>
    <n v="489.95"/>
  </r>
  <r>
    <x v="5"/>
    <x v="3"/>
    <x v="0"/>
    <x v="2"/>
    <x v="35"/>
    <x v="3"/>
    <n v="499.55"/>
  </r>
  <r>
    <x v="0"/>
    <x v="3"/>
    <x v="1"/>
    <x v="1"/>
    <x v="27"/>
    <x v="6"/>
    <n v="490.9"/>
  </r>
  <r>
    <x v="7"/>
    <x v="7"/>
    <x v="4"/>
    <x v="1"/>
    <x v="24"/>
    <x v="5"/>
    <n v="484.4"/>
  </r>
  <r>
    <x v="7"/>
    <x v="3"/>
    <x v="4"/>
    <x v="3"/>
    <x v="21"/>
    <x v="4"/>
    <n v="494.75"/>
  </r>
  <r>
    <x v="1"/>
    <x v="2"/>
    <x v="4"/>
    <x v="0"/>
    <x v="33"/>
    <x v="0"/>
    <n v="491.25"/>
  </r>
  <r>
    <x v="0"/>
    <x v="7"/>
    <x v="3"/>
    <x v="3"/>
    <x v="7"/>
    <x v="5"/>
    <n v="487.65"/>
  </r>
  <r>
    <x v="6"/>
    <x v="3"/>
    <x v="0"/>
    <x v="0"/>
    <x v="18"/>
    <x v="5"/>
    <n v="499.45"/>
  </r>
  <r>
    <x v="4"/>
    <x v="4"/>
    <x v="3"/>
    <x v="0"/>
    <x v="7"/>
    <x v="5"/>
    <n v="498.7"/>
  </r>
  <r>
    <x v="8"/>
    <x v="3"/>
    <x v="2"/>
    <x v="1"/>
    <x v="1"/>
    <x v="1"/>
    <n v="498.45"/>
  </r>
  <r>
    <x v="7"/>
    <x v="6"/>
    <x v="4"/>
    <x v="1"/>
    <x v="10"/>
    <x v="1"/>
    <n v="484.9"/>
  </r>
  <r>
    <x v="7"/>
    <x v="3"/>
    <x v="2"/>
    <x v="1"/>
    <x v="30"/>
    <x v="6"/>
    <n v="494.45"/>
  </r>
  <r>
    <x v="1"/>
    <x v="2"/>
    <x v="5"/>
    <x v="0"/>
    <x v="24"/>
    <x v="5"/>
    <n v="495.75"/>
  </r>
  <r>
    <x v="4"/>
    <x v="4"/>
    <x v="1"/>
    <x v="0"/>
    <x v="16"/>
    <x v="6"/>
    <n v="493.8"/>
  </r>
  <r>
    <x v="5"/>
    <x v="2"/>
    <x v="1"/>
    <x v="2"/>
    <x v="19"/>
    <x v="2"/>
    <n v="492.8"/>
  </r>
  <r>
    <x v="7"/>
    <x v="6"/>
    <x v="3"/>
    <x v="1"/>
    <x v="32"/>
    <x v="2"/>
    <n v="492.1"/>
  </r>
  <r>
    <x v="8"/>
    <x v="3"/>
    <x v="0"/>
    <x v="2"/>
    <x v="13"/>
    <x v="4"/>
    <n v="505.85"/>
  </r>
  <r>
    <x v="8"/>
    <x v="3"/>
    <x v="2"/>
    <x v="0"/>
    <x v="5"/>
    <x v="4"/>
    <n v="501"/>
  </r>
  <r>
    <x v="3"/>
    <x v="5"/>
    <x v="0"/>
    <x v="0"/>
    <x v="1"/>
    <x v="1"/>
    <n v="483.65"/>
  </r>
  <r>
    <x v="8"/>
    <x v="3"/>
    <x v="3"/>
    <x v="2"/>
    <x v="35"/>
    <x v="3"/>
    <n v="501.7"/>
  </r>
  <r>
    <x v="2"/>
    <x v="3"/>
    <x v="1"/>
    <x v="0"/>
    <x v="19"/>
    <x v="2"/>
    <n v="496.3"/>
  </r>
  <r>
    <x v="6"/>
    <x v="6"/>
    <x v="0"/>
    <x v="1"/>
    <x v="21"/>
    <x v="4"/>
    <n v="494.6"/>
  </r>
  <r>
    <x v="2"/>
    <x v="2"/>
    <x v="0"/>
    <x v="2"/>
    <x v="1"/>
    <x v="1"/>
    <n v="495.65"/>
  </r>
  <r>
    <x v="8"/>
    <x v="3"/>
    <x v="1"/>
    <x v="0"/>
    <x v="5"/>
    <x v="4"/>
    <n v="499.45"/>
  </r>
  <r>
    <x v="1"/>
    <x v="2"/>
    <x v="2"/>
    <x v="2"/>
    <x v="31"/>
    <x v="1"/>
    <n v="491.5"/>
  </r>
  <r>
    <x v="7"/>
    <x v="0"/>
    <x v="1"/>
    <x v="2"/>
    <x v="31"/>
    <x v="1"/>
    <n v="482.05"/>
  </r>
  <r>
    <x v="1"/>
    <x v="6"/>
    <x v="0"/>
    <x v="0"/>
    <x v="17"/>
    <x v="4"/>
    <n v="493.9"/>
  </r>
  <r>
    <x v="5"/>
    <x v="4"/>
    <x v="2"/>
    <x v="2"/>
    <x v="22"/>
    <x v="3"/>
    <n v="496.25"/>
  </r>
  <r>
    <x v="6"/>
    <x v="3"/>
    <x v="2"/>
    <x v="2"/>
    <x v="21"/>
    <x v="4"/>
    <n v="497.05"/>
  </r>
  <r>
    <x v="2"/>
    <x v="4"/>
    <x v="1"/>
    <x v="3"/>
    <x v="29"/>
    <x v="6"/>
    <n v="494.25"/>
  </r>
  <r>
    <x v="7"/>
    <x v="1"/>
    <x v="0"/>
    <x v="2"/>
    <x v="20"/>
    <x v="1"/>
    <n v="490.7"/>
  </r>
  <r>
    <x v="7"/>
    <x v="7"/>
    <x v="3"/>
    <x v="2"/>
    <x v="18"/>
    <x v="5"/>
    <n v="488.25"/>
  </r>
  <r>
    <x v="7"/>
    <x v="4"/>
    <x v="0"/>
    <x v="1"/>
    <x v="24"/>
    <x v="5"/>
    <n v="495.55"/>
  </r>
  <r>
    <x v="3"/>
    <x v="0"/>
    <x v="4"/>
    <x v="1"/>
    <x v="16"/>
    <x v="6"/>
    <n v="481.4"/>
  </r>
  <r>
    <x v="0"/>
    <x v="6"/>
    <x v="5"/>
    <x v="1"/>
    <x v="33"/>
    <x v="0"/>
    <n v="492.4"/>
  </r>
  <r>
    <x v="2"/>
    <x v="2"/>
    <x v="3"/>
    <x v="2"/>
    <x v="32"/>
    <x v="2"/>
    <n v="499.2"/>
  </r>
  <r>
    <x v="8"/>
    <x v="3"/>
    <x v="2"/>
    <x v="1"/>
    <x v="26"/>
    <x v="6"/>
    <n v="500.2"/>
  </r>
  <r>
    <x v="8"/>
    <x v="3"/>
    <x v="3"/>
    <x v="2"/>
    <x v="5"/>
    <x v="4"/>
    <n v="504.25"/>
  </r>
  <r>
    <x v="7"/>
    <x v="3"/>
    <x v="2"/>
    <x v="1"/>
    <x v="29"/>
    <x v="6"/>
    <n v="493.75"/>
  </r>
  <r>
    <x v="0"/>
    <x v="3"/>
    <x v="2"/>
    <x v="3"/>
    <x v="27"/>
    <x v="6"/>
    <n v="492.65"/>
  </r>
  <r>
    <x v="4"/>
    <x v="4"/>
    <x v="3"/>
    <x v="3"/>
    <x v="35"/>
    <x v="3"/>
    <n v="499.35"/>
  </r>
  <r>
    <x v="3"/>
    <x v="4"/>
    <x v="2"/>
    <x v="1"/>
    <x v="16"/>
    <x v="6"/>
    <n v="490.45"/>
  </r>
  <r>
    <x v="3"/>
    <x v="0"/>
    <x v="2"/>
    <x v="3"/>
    <x v="22"/>
    <x v="3"/>
    <n v="483.7"/>
  </r>
  <r>
    <x v="1"/>
    <x v="1"/>
    <x v="4"/>
    <x v="1"/>
    <x v="28"/>
    <x v="3"/>
    <n v="489.25"/>
  </r>
  <r>
    <x v="2"/>
    <x v="2"/>
    <x v="0"/>
    <x v="2"/>
    <x v="9"/>
    <x v="5"/>
    <n v="498.25"/>
  </r>
  <r>
    <x v="2"/>
    <x v="2"/>
    <x v="0"/>
    <x v="2"/>
    <x v="31"/>
    <x v="1"/>
    <n v="497.85"/>
  </r>
  <r>
    <x v="1"/>
    <x v="1"/>
    <x v="5"/>
    <x v="0"/>
    <x v="8"/>
    <x v="1"/>
    <n v="494.2"/>
  </r>
  <r>
    <x v="3"/>
    <x v="6"/>
    <x v="5"/>
    <x v="2"/>
    <x v="34"/>
    <x v="2"/>
    <n v="491.85"/>
  </r>
  <r>
    <x v="8"/>
    <x v="3"/>
    <x v="4"/>
    <x v="0"/>
    <x v="10"/>
    <x v="1"/>
    <n v="498.5"/>
  </r>
  <r>
    <x v="7"/>
    <x v="0"/>
    <x v="5"/>
    <x v="2"/>
    <x v="6"/>
    <x v="0"/>
    <n v="490.9"/>
  </r>
  <r>
    <x v="6"/>
    <x v="6"/>
    <x v="3"/>
    <x v="2"/>
    <x v="15"/>
    <x v="2"/>
    <n v="493.9"/>
  </r>
  <r>
    <x v="5"/>
    <x v="1"/>
    <x v="1"/>
    <x v="0"/>
    <x v="8"/>
    <x v="1"/>
    <n v="489.6"/>
  </r>
  <r>
    <x v="6"/>
    <x v="2"/>
    <x v="1"/>
    <x v="1"/>
    <x v="6"/>
    <x v="0"/>
    <n v="491.4"/>
  </r>
  <r>
    <x v="4"/>
    <x v="4"/>
    <x v="1"/>
    <x v="0"/>
    <x v="4"/>
    <x v="3"/>
    <n v="495.7"/>
  </r>
  <r>
    <x v="1"/>
    <x v="4"/>
    <x v="4"/>
    <x v="2"/>
    <x v="14"/>
    <x v="3"/>
    <n v="492.25"/>
  </r>
  <r>
    <x v="6"/>
    <x v="3"/>
    <x v="4"/>
    <x v="3"/>
    <x v="30"/>
    <x v="6"/>
    <n v="493.85"/>
  </r>
  <r>
    <x v="4"/>
    <x v="4"/>
    <x v="2"/>
    <x v="2"/>
    <x v="21"/>
    <x v="4"/>
    <n v="498.2"/>
  </r>
  <r>
    <x v="6"/>
    <x v="6"/>
    <x v="1"/>
    <x v="2"/>
    <x v="14"/>
    <x v="3"/>
    <n v="486.25"/>
  </r>
  <r>
    <x v="7"/>
    <x v="0"/>
    <x v="3"/>
    <x v="1"/>
    <x v="35"/>
    <x v="3"/>
    <n v="487.25"/>
  </r>
  <r>
    <x v="0"/>
    <x v="4"/>
    <x v="5"/>
    <x v="2"/>
    <x v="1"/>
    <x v="1"/>
    <n v="493.5"/>
  </r>
  <r>
    <x v="4"/>
    <x v="4"/>
    <x v="3"/>
    <x v="2"/>
    <x v="0"/>
    <x v="0"/>
    <n v="500.95"/>
  </r>
  <r>
    <x v="8"/>
    <x v="3"/>
    <x v="5"/>
    <x v="3"/>
    <x v="15"/>
    <x v="2"/>
    <n v="507.2"/>
  </r>
  <r>
    <x v="3"/>
    <x v="7"/>
    <x v="1"/>
    <x v="0"/>
    <x v="21"/>
    <x v="4"/>
    <n v="483"/>
  </r>
  <r>
    <x v="4"/>
    <x v="4"/>
    <x v="1"/>
    <x v="0"/>
    <x v="19"/>
    <x v="2"/>
    <n v="495.8"/>
  </r>
  <r>
    <x v="1"/>
    <x v="4"/>
    <x v="1"/>
    <x v="1"/>
    <x v="29"/>
    <x v="6"/>
    <n v="490.35"/>
  </r>
  <r>
    <x v="7"/>
    <x v="3"/>
    <x v="4"/>
    <x v="2"/>
    <x v="12"/>
    <x v="4"/>
    <n v="493.75"/>
  </r>
  <r>
    <x v="6"/>
    <x v="6"/>
    <x v="5"/>
    <x v="1"/>
    <x v="22"/>
    <x v="3"/>
    <n v="494.85"/>
  </r>
  <r>
    <x v="5"/>
    <x v="1"/>
    <x v="4"/>
    <x v="1"/>
    <x v="5"/>
    <x v="4"/>
    <n v="491.75"/>
  </r>
  <r>
    <x v="7"/>
    <x v="2"/>
    <x v="4"/>
    <x v="2"/>
    <x v="17"/>
    <x v="4"/>
    <n v="491.3"/>
  </r>
  <r>
    <x v="4"/>
    <x v="4"/>
    <x v="0"/>
    <x v="1"/>
    <x v="24"/>
    <x v="5"/>
    <n v="500.3"/>
  </r>
  <r>
    <x v="0"/>
    <x v="2"/>
    <x v="3"/>
    <x v="1"/>
    <x v="16"/>
    <x v="6"/>
    <n v="491.35"/>
  </r>
  <r>
    <x v="4"/>
    <x v="4"/>
    <x v="3"/>
    <x v="3"/>
    <x v="8"/>
    <x v="1"/>
    <n v="498.4"/>
  </r>
  <r>
    <x v="6"/>
    <x v="6"/>
    <x v="2"/>
    <x v="0"/>
    <x v="5"/>
    <x v="4"/>
    <n v="491.4"/>
  </r>
  <r>
    <x v="7"/>
    <x v="3"/>
    <x v="4"/>
    <x v="1"/>
    <x v="14"/>
    <x v="3"/>
    <n v="492.75"/>
  </r>
  <r>
    <x v="7"/>
    <x v="4"/>
    <x v="5"/>
    <x v="1"/>
    <x v="18"/>
    <x v="5"/>
    <n v="496.65"/>
  </r>
  <r>
    <x v="9"/>
    <x v="0"/>
    <x v="0"/>
    <x v="1"/>
    <x v="3"/>
    <x v="2"/>
    <n v="487.5"/>
  </r>
  <r>
    <x v="7"/>
    <x v="6"/>
    <x v="0"/>
    <x v="2"/>
    <x v="1"/>
    <x v="1"/>
    <n v="489.15"/>
  </r>
  <r>
    <x v="5"/>
    <x v="2"/>
    <x v="3"/>
    <x v="2"/>
    <x v="33"/>
    <x v="0"/>
    <n v="496"/>
  </r>
  <r>
    <x v="0"/>
    <x v="5"/>
    <x v="4"/>
    <x v="0"/>
    <x v="16"/>
    <x v="6"/>
    <n v="480.8"/>
  </r>
  <r>
    <x v="7"/>
    <x v="4"/>
    <x v="2"/>
    <x v="1"/>
    <x v="14"/>
    <x v="3"/>
    <n v="493.95"/>
  </r>
  <r>
    <x v="6"/>
    <x v="3"/>
    <x v="4"/>
    <x v="1"/>
    <x v="10"/>
    <x v="1"/>
    <n v="493.45"/>
  </r>
  <r>
    <x v="6"/>
    <x v="6"/>
    <x v="1"/>
    <x v="3"/>
    <x v="7"/>
    <x v="5"/>
    <n v="488.05"/>
  </r>
  <r>
    <x v="7"/>
    <x v="1"/>
    <x v="4"/>
    <x v="2"/>
    <x v="6"/>
    <x v="0"/>
    <n v="489.85"/>
  </r>
  <r>
    <x v="0"/>
    <x v="3"/>
    <x v="1"/>
    <x v="3"/>
    <x v="0"/>
    <x v="0"/>
    <n v="491.2"/>
  </r>
  <r>
    <x v="2"/>
    <x v="2"/>
    <x v="1"/>
    <x v="1"/>
    <x v="32"/>
    <x v="2"/>
    <n v="495.1"/>
  </r>
  <r>
    <x v="2"/>
    <x v="2"/>
    <x v="2"/>
    <x v="2"/>
    <x v="7"/>
    <x v="5"/>
    <n v="495.55"/>
  </r>
  <r>
    <x v="6"/>
    <x v="6"/>
    <x v="5"/>
    <x v="1"/>
    <x v="13"/>
    <x v="4"/>
    <n v="496.8"/>
  </r>
  <r>
    <x v="6"/>
    <x v="3"/>
    <x v="3"/>
    <x v="1"/>
    <x v="11"/>
    <x v="5"/>
    <n v="497.25"/>
  </r>
  <r>
    <x v="7"/>
    <x v="2"/>
    <x v="4"/>
    <x v="2"/>
    <x v="32"/>
    <x v="2"/>
    <n v="491.45"/>
  </r>
  <r>
    <x v="0"/>
    <x v="1"/>
    <x v="1"/>
    <x v="1"/>
    <x v="16"/>
    <x v="6"/>
    <n v="485.4"/>
  </r>
  <r>
    <x v="1"/>
    <x v="7"/>
    <x v="4"/>
    <x v="1"/>
    <x v="33"/>
    <x v="0"/>
    <n v="486.6"/>
  </r>
  <r>
    <x v="5"/>
    <x v="1"/>
    <x v="5"/>
    <x v="2"/>
    <x v="19"/>
    <x v="2"/>
    <n v="500.15"/>
  </r>
  <r>
    <x v="5"/>
    <x v="1"/>
    <x v="3"/>
    <x v="2"/>
    <x v="15"/>
    <x v="2"/>
    <n v="495.35"/>
  </r>
  <r>
    <x v="9"/>
    <x v="3"/>
    <x v="5"/>
    <x v="0"/>
    <x v="23"/>
    <x v="0"/>
    <n v="496.95"/>
  </r>
  <r>
    <x v="6"/>
    <x v="6"/>
    <x v="3"/>
    <x v="0"/>
    <x v="19"/>
    <x v="2"/>
    <n v="493.2"/>
  </r>
  <r>
    <x v="6"/>
    <x v="6"/>
    <x v="0"/>
    <x v="2"/>
    <x v="18"/>
    <x v="5"/>
    <n v="494.1"/>
  </r>
  <r>
    <x v="2"/>
    <x v="2"/>
    <x v="3"/>
    <x v="2"/>
    <x v="26"/>
    <x v="6"/>
    <n v="496.2"/>
  </r>
  <r>
    <x v="5"/>
    <x v="1"/>
    <x v="2"/>
    <x v="1"/>
    <x v="34"/>
    <x v="2"/>
    <n v="494.6"/>
  </r>
  <r>
    <x v="7"/>
    <x v="2"/>
    <x v="5"/>
    <x v="0"/>
    <x v="21"/>
    <x v="4"/>
    <n v="496.85"/>
  </r>
  <r>
    <x v="2"/>
    <x v="2"/>
    <x v="1"/>
    <x v="2"/>
    <x v="16"/>
    <x v="6"/>
    <n v="492.25"/>
  </r>
  <r>
    <x v="0"/>
    <x v="3"/>
    <x v="0"/>
    <x v="1"/>
    <x v="18"/>
    <x v="5"/>
    <n v="495.55"/>
  </r>
  <r>
    <x v="5"/>
    <x v="1"/>
    <x v="2"/>
    <x v="1"/>
    <x v="13"/>
    <x v="4"/>
    <n v="494.45"/>
  </r>
  <r>
    <x v="2"/>
    <x v="2"/>
    <x v="4"/>
    <x v="1"/>
    <x v="15"/>
    <x v="2"/>
    <n v="496.75"/>
  </r>
  <r>
    <x v="4"/>
    <x v="4"/>
    <x v="5"/>
    <x v="3"/>
    <x v="28"/>
    <x v="3"/>
    <n v="502.75"/>
  </r>
  <r>
    <x v="4"/>
    <x v="4"/>
    <x v="1"/>
    <x v="3"/>
    <x v="35"/>
    <x v="3"/>
    <n v="496.3"/>
  </r>
  <r>
    <x v="1"/>
    <x v="7"/>
    <x v="3"/>
    <x v="2"/>
    <x v="20"/>
    <x v="1"/>
    <n v="488.2"/>
  </r>
  <r>
    <x v="2"/>
    <x v="2"/>
    <x v="1"/>
    <x v="2"/>
    <x v="32"/>
    <x v="2"/>
    <n v="493.65"/>
  </r>
  <r>
    <x v="1"/>
    <x v="7"/>
    <x v="4"/>
    <x v="1"/>
    <x v="34"/>
    <x v="2"/>
    <n v="487.15"/>
  </r>
  <r>
    <x v="5"/>
    <x v="2"/>
    <x v="0"/>
    <x v="0"/>
    <x v="19"/>
    <x v="2"/>
    <n v="499.5"/>
  </r>
  <r>
    <x v="9"/>
    <x v="6"/>
    <x v="0"/>
    <x v="2"/>
    <x v="32"/>
    <x v="2"/>
    <n v="489.9"/>
  </r>
  <r>
    <x v="2"/>
    <x v="2"/>
    <x v="5"/>
    <x v="2"/>
    <x v="25"/>
    <x v="0"/>
    <n v="499.55"/>
  </r>
  <r>
    <x v="8"/>
    <x v="3"/>
    <x v="0"/>
    <x v="2"/>
    <x v="29"/>
    <x v="6"/>
    <n v="502.05"/>
  </r>
  <r>
    <x v="7"/>
    <x v="0"/>
    <x v="5"/>
    <x v="0"/>
    <x v="9"/>
    <x v="5"/>
    <n v="489.15"/>
  </r>
  <r>
    <x v="2"/>
    <x v="4"/>
    <x v="5"/>
    <x v="2"/>
    <x v="24"/>
    <x v="5"/>
    <n v="501.55"/>
  </r>
  <r>
    <x v="6"/>
    <x v="3"/>
    <x v="5"/>
    <x v="1"/>
    <x v="18"/>
    <x v="5"/>
    <n v="500.55"/>
  </r>
  <r>
    <x v="5"/>
    <x v="1"/>
    <x v="3"/>
    <x v="2"/>
    <x v="11"/>
    <x v="5"/>
    <n v="492.7"/>
  </r>
  <r>
    <x v="7"/>
    <x v="6"/>
    <x v="2"/>
    <x v="1"/>
    <x v="24"/>
    <x v="5"/>
    <n v="488.05"/>
  </r>
  <r>
    <x v="6"/>
    <x v="4"/>
    <x v="5"/>
    <x v="0"/>
    <x v="31"/>
    <x v="1"/>
    <n v="498"/>
  </r>
  <r>
    <x v="2"/>
    <x v="2"/>
    <x v="5"/>
    <x v="2"/>
    <x v="31"/>
    <x v="1"/>
    <n v="497.55"/>
  </r>
  <r>
    <x v="0"/>
    <x v="7"/>
    <x v="2"/>
    <x v="1"/>
    <x v="34"/>
    <x v="2"/>
    <n v="487.25"/>
  </r>
  <r>
    <x v="3"/>
    <x v="5"/>
    <x v="1"/>
    <x v="0"/>
    <x v="1"/>
    <x v="1"/>
    <n v="477.05"/>
  </r>
  <r>
    <x v="3"/>
    <x v="7"/>
    <x v="5"/>
    <x v="2"/>
    <x v="4"/>
    <x v="3"/>
    <n v="489.35"/>
  </r>
  <r>
    <x v="0"/>
    <x v="1"/>
    <x v="3"/>
    <x v="2"/>
    <x v="8"/>
    <x v="1"/>
    <n v="489.15"/>
  </r>
  <r>
    <x v="2"/>
    <x v="2"/>
    <x v="0"/>
    <x v="1"/>
    <x v="18"/>
    <x v="5"/>
    <n v="498.4"/>
  </r>
  <r>
    <x v="1"/>
    <x v="3"/>
    <x v="0"/>
    <x v="2"/>
    <x v="5"/>
    <x v="4"/>
    <n v="499.4"/>
  </r>
  <r>
    <x v="8"/>
    <x v="3"/>
    <x v="4"/>
    <x v="1"/>
    <x v="17"/>
    <x v="4"/>
    <n v="500.05"/>
  </r>
  <r>
    <x v="7"/>
    <x v="2"/>
    <x v="4"/>
    <x v="2"/>
    <x v="20"/>
    <x v="1"/>
    <n v="488.25"/>
  </r>
  <r>
    <x v="6"/>
    <x v="6"/>
    <x v="0"/>
    <x v="1"/>
    <x v="7"/>
    <x v="5"/>
    <n v="493.8"/>
  </r>
  <r>
    <x v="1"/>
    <x v="2"/>
    <x v="0"/>
    <x v="2"/>
    <x v="34"/>
    <x v="2"/>
    <n v="497.15"/>
  </r>
  <r>
    <x v="3"/>
    <x v="5"/>
    <x v="3"/>
    <x v="2"/>
    <x v="9"/>
    <x v="5"/>
    <n v="483.15"/>
  </r>
  <r>
    <x v="4"/>
    <x v="3"/>
    <x v="2"/>
    <x v="3"/>
    <x v="22"/>
    <x v="3"/>
    <n v="500.2"/>
  </r>
  <r>
    <x v="5"/>
    <x v="1"/>
    <x v="4"/>
    <x v="3"/>
    <x v="25"/>
    <x v="0"/>
    <n v="493.05"/>
  </r>
  <r>
    <x v="9"/>
    <x v="2"/>
    <x v="2"/>
    <x v="1"/>
    <x v="9"/>
    <x v="5"/>
    <n v="489"/>
  </r>
  <r>
    <x v="2"/>
    <x v="2"/>
    <x v="3"/>
    <x v="2"/>
    <x v="4"/>
    <x v="3"/>
    <n v="498.15"/>
  </r>
  <r>
    <x v="4"/>
    <x v="4"/>
    <x v="0"/>
    <x v="1"/>
    <x v="15"/>
    <x v="2"/>
    <n v="502.8"/>
  </r>
  <r>
    <x v="4"/>
    <x v="4"/>
    <x v="5"/>
    <x v="1"/>
    <x v="30"/>
    <x v="6"/>
    <n v="501.05"/>
  </r>
  <r>
    <x v="3"/>
    <x v="5"/>
    <x v="2"/>
    <x v="0"/>
    <x v="7"/>
    <x v="5"/>
    <n v="481.35"/>
  </r>
  <r>
    <x v="5"/>
    <x v="1"/>
    <x v="0"/>
    <x v="2"/>
    <x v="5"/>
    <x v="4"/>
    <n v="497.8"/>
  </r>
  <r>
    <x v="0"/>
    <x v="0"/>
    <x v="0"/>
    <x v="2"/>
    <x v="26"/>
    <x v="6"/>
    <n v="486.45"/>
  </r>
  <r>
    <x v="4"/>
    <x v="4"/>
    <x v="1"/>
    <x v="2"/>
    <x v="9"/>
    <x v="5"/>
    <n v="495.25"/>
  </r>
  <r>
    <x v="3"/>
    <x v="0"/>
    <x v="2"/>
    <x v="1"/>
    <x v="0"/>
    <x v="0"/>
    <n v="483.6"/>
  </r>
  <r>
    <x v="2"/>
    <x v="3"/>
    <x v="5"/>
    <x v="3"/>
    <x v="31"/>
    <x v="1"/>
    <n v="501.65"/>
  </r>
  <r>
    <x v="0"/>
    <x v="1"/>
    <x v="2"/>
    <x v="0"/>
    <x v="9"/>
    <x v="5"/>
    <n v="488.4"/>
  </r>
  <r>
    <x v="3"/>
    <x v="7"/>
    <x v="0"/>
    <x v="1"/>
    <x v="22"/>
    <x v="3"/>
    <n v="488.55"/>
  </r>
  <r>
    <x v="4"/>
    <x v="4"/>
    <x v="5"/>
    <x v="2"/>
    <x v="18"/>
    <x v="5"/>
    <n v="502.65"/>
  </r>
  <r>
    <x v="1"/>
    <x v="4"/>
    <x v="3"/>
    <x v="1"/>
    <x v="3"/>
    <x v="2"/>
    <n v="497.55"/>
  </r>
  <r>
    <x v="8"/>
    <x v="3"/>
    <x v="1"/>
    <x v="3"/>
    <x v="17"/>
    <x v="4"/>
    <n v="500.15"/>
  </r>
  <r>
    <x v="8"/>
    <x v="3"/>
    <x v="0"/>
    <x v="2"/>
    <x v="14"/>
    <x v="3"/>
    <n v="502.8"/>
  </r>
  <r>
    <x v="1"/>
    <x v="7"/>
    <x v="4"/>
    <x v="1"/>
    <x v="30"/>
    <x v="6"/>
    <n v="485.55"/>
  </r>
  <r>
    <x v="0"/>
    <x v="7"/>
    <x v="4"/>
    <x v="2"/>
    <x v="7"/>
    <x v="5"/>
    <n v="484.7"/>
  </r>
  <r>
    <x v="0"/>
    <x v="2"/>
    <x v="1"/>
    <x v="2"/>
    <x v="8"/>
    <x v="1"/>
    <n v="485.75"/>
  </r>
  <r>
    <x v="5"/>
    <x v="1"/>
    <x v="3"/>
    <x v="1"/>
    <x v="30"/>
    <x v="6"/>
    <n v="493.65"/>
  </r>
  <r>
    <x v="4"/>
    <x v="4"/>
    <x v="0"/>
    <x v="2"/>
    <x v="22"/>
    <x v="3"/>
    <n v="501.35"/>
  </r>
  <r>
    <x v="9"/>
    <x v="7"/>
    <x v="2"/>
    <x v="2"/>
    <x v="31"/>
    <x v="1"/>
    <n v="482.65"/>
  </r>
  <r>
    <x v="3"/>
    <x v="6"/>
    <x v="1"/>
    <x v="1"/>
    <x v="23"/>
    <x v="0"/>
    <n v="484.6"/>
  </r>
  <r>
    <x v="8"/>
    <x v="3"/>
    <x v="3"/>
    <x v="2"/>
    <x v="21"/>
    <x v="4"/>
    <n v="504.1"/>
  </r>
  <r>
    <x v="6"/>
    <x v="1"/>
    <x v="2"/>
    <x v="0"/>
    <x v="1"/>
    <x v="1"/>
    <n v="490.4"/>
  </r>
  <r>
    <x v="5"/>
    <x v="1"/>
    <x v="4"/>
    <x v="0"/>
    <x v="10"/>
    <x v="1"/>
    <n v="490.9"/>
  </r>
  <r>
    <x v="4"/>
    <x v="4"/>
    <x v="4"/>
    <x v="0"/>
    <x v="5"/>
    <x v="4"/>
    <n v="498.55"/>
  </r>
  <r>
    <x v="6"/>
    <x v="3"/>
    <x v="2"/>
    <x v="0"/>
    <x v="16"/>
    <x v="6"/>
    <n v="495.4"/>
  </r>
  <r>
    <x v="3"/>
    <x v="7"/>
    <x v="1"/>
    <x v="1"/>
    <x v="6"/>
    <x v="0"/>
    <n v="483.3"/>
  </r>
  <r>
    <x v="8"/>
    <x v="3"/>
    <x v="4"/>
    <x v="2"/>
    <x v="23"/>
    <x v="0"/>
    <n v="499.25"/>
  </r>
  <r>
    <x v="7"/>
    <x v="2"/>
    <x v="0"/>
    <x v="2"/>
    <x v="35"/>
    <x v="3"/>
    <n v="494.55"/>
  </r>
  <r>
    <x v="8"/>
    <x v="3"/>
    <x v="5"/>
    <x v="0"/>
    <x v="33"/>
    <x v="0"/>
    <n v="504.35"/>
  </r>
  <r>
    <x v="1"/>
    <x v="1"/>
    <x v="2"/>
    <x v="2"/>
    <x v="16"/>
    <x v="6"/>
    <n v="490.15"/>
  </r>
  <r>
    <x v="5"/>
    <x v="4"/>
    <x v="2"/>
    <x v="0"/>
    <x v="11"/>
    <x v="5"/>
    <n v="495.2"/>
  </r>
  <r>
    <x v="3"/>
    <x v="3"/>
    <x v="4"/>
    <x v="1"/>
    <x v="12"/>
    <x v="4"/>
    <n v="493.2"/>
  </r>
  <r>
    <x v="0"/>
    <x v="6"/>
    <x v="1"/>
    <x v="2"/>
    <x v="5"/>
    <x v="4"/>
    <n v="485.95"/>
  </r>
  <r>
    <x v="1"/>
    <x v="6"/>
    <x v="0"/>
    <x v="2"/>
    <x v="8"/>
    <x v="1"/>
    <n v="490.55"/>
  </r>
  <r>
    <x v="4"/>
    <x v="4"/>
    <x v="1"/>
    <x v="2"/>
    <x v="8"/>
    <x v="1"/>
    <n v="492.95"/>
  </r>
  <r>
    <x v="6"/>
    <x v="2"/>
    <x v="3"/>
    <x v="2"/>
    <x v="35"/>
    <x v="3"/>
    <n v="494.4"/>
  </r>
  <r>
    <x v="5"/>
    <x v="1"/>
    <x v="3"/>
    <x v="0"/>
    <x v="15"/>
    <x v="2"/>
    <n v="496"/>
  </r>
  <r>
    <x v="0"/>
    <x v="2"/>
    <x v="5"/>
    <x v="2"/>
    <x v="21"/>
    <x v="4"/>
    <n v="496.25"/>
  </r>
  <r>
    <x v="8"/>
    <x v="3"/>
    <x v="4"/>
    <x v="3"/>
    <x v="19"/>
    <x v="2"/>
    <n v="501.65"/>
  </r>
  <r>
    <x v="3"/>
    <x v="0"/>
    <x v="4"/>
    <x v="1"/>
    <x v="26"/>
    <x v="6"/>
    <n v="480.65"/>
  </r>
  <r>
    <x v="2"/>
    <x v="2"/>
    <x v="4"/>
    <x v="2"/>
    <x v="10"/>
    <x v="1"/>
    <n v="493.15"/>
  </r>
  <r>
    <x v="1"/>
    <x v="4"/>
    <x v="5"/>
    <x v="2"/>
    <x v="0"/>
    <x v="0"/>
    <n v="499.6"/>
  </r>
  <r>
    <x v="5"/>
    <x v="1"/>
    <x v="3"/>
    <x v="1"/>
    <x v="19"/>
    <x v="2"/>
    <n v="495.95"/>
  </r>
  <r>
    <x v="1"/>
    <x v="4"/>
    <x v="1"/>
    <x v="0"/>
    <x v="10"/>
    <x v="1"/>
    <n v="489"/>
  </r>
  <r>
    <x v="4"/>
    <x v="4"/>
    <x v="5"/>
    <x v="1"/>
    <x v="26"/>
    <x v="6"/>
    <n v="502.25"/>
  </r>
  <r>
    <x v="0"/>
    <x v="3"/>
    <x v="5"/>
    <x v="3"/>
    <x v="0"/>
    <x v="0"/>
    <n v="497.95"/>
  </r>
  <r>
    <x v="0"/>
    <x v="2"/>
    <x v="1"/>
    <x v="1"/>
    <x v="26"/>
    <x v="6"/>
    <n v="486.4"/>
  </r>
  <r>
    <x v="8"/>
    <x v="3"/>
    <x v="4"/>
    <x v="0"/>
    <x v="11"/>
    <x v="5"/>
    <n v="499.9"/>
  </r>
  <r>
    <x v="8"/>
    <x v="3"/>
    <x v="0"/>
    <x v="2"/>
    <x v="27"/>
    <x v="6"/>
    <n v="503.15"/>
  </r>
  <r>
    <x v="2"/>
    <x v="2"/>
    <x v="1"/>
    <x v="0"/>
    <x v="22"/>
    <x v="3"/>
    <n v="493.1"/>
  </r>
  <r>
    <x v="1"/>
    <x v="6"/>
    <x v="3"/>
    <x v="1"/>
    <x v="13"/>
    <x v="4"/>
    <n v="491.95"/>
  </r>
  <r>
    <x v="6"/>
    <x v="6"/>
    <x v="2"/>
    <x v="0"/>
    <x v="0"/>
    <x v="0"/>
    <n v="490.55"/>
  </r>
  <r>
    <x v="7"/>
    <x v="0"/>
    <x v="2"/>
    <x v="1"/>
    <x v="34"/>
    <x v="2"/>
    <n v="487.6"/>
  </r>
  <r>
    <x v="0"/>
    <x v="7"/>
    <x v="5"/>
    <x v="2"/>
    <x v="27"/>
    <x v="6"/>
    <n v="489.85"/>
  </r>
  <r>
    <x v="8"/>
    <x v="3"/>
    <x v="2"/>
    <x v="2"/>
    <x v="15"/>
    <x v="2"/>
    <n v="501.35"/>
  </r>
  <r>
    <x v="3"/>
    <x v="1"/>
    <x v="0"/>
    <x v="0"/>
    <x v="13"/>
    <x v="4"/>
    <n v="492.8"/>
  </r>
  <r>
    <x v="3"/>
    <x v="0"/>
    <x v="4"/>
    <x v="2"/>
    <x v="19"/>
    <x v="2"/>
    <n v="483.1"/>
  </r>
  <r>
    <x v="7"/>
    <x v="2"/>
    <x v="3"/>
    <x v="0"/>
    <x v="22"/>
    <x v="3"/>
    <n v="493.95"/>
  </r>
  <r>
    <x v="3"/>
    <x v="5"/>
    <x v="0"/>
    <x v="3"/>
    <x v="24"/>
    <x v="5"/>
    <n v="483.9"/>
  </r>
  <r>
    <x v="9"/>
    <x v="5"/>
    <x v="3"/>
    <x v="1"/>
    <x v="15"/>
    <x v="2"/>
    <n v="484.6"/>
  </r>
  <r>
    <x v="5"/>
    <x v="2"/>
    <x v="3"/>
    <x v="1"/>
    <x v="33"/>
    <x v="0"/>
    <n v="495.9"/>
  </r>
  <r>
    <x v="2"/>
    <x v="2"/>
    <x v="4"/>
    <x v="0"/>
    <x v="26"/>
    <x v="6"/>
    <n v="491.9"/>
  </r>
  <r>
    <x v="5"/>
    <x v="1"/>
    <x v="5"/>
    <x v="2"/>
    <x v="31"/>
    <x v="1"/>
    <n v="494.85"/>
  </r>
  <r>
    <x v="4"/>
    <x v="4"/>
    <x v="2"/>
    <x v="2"/>
    <x v="27"/>
    <x v="6"/>
    <n v="496.05"/>
  </r>
  <r>
    <x v="0"/>
    <x v="0"/>
    <x v="4"/>
    <x v="2"/>
    <x v="4"/>
    <x v="3"/>
    <n v="484.05"/>
  </r>
  <r>
    <x v="7"/>
    <x v="3"/>
    <x v="0"/>
    <x v="1"/>
    <x v="24"/>
    <x v="5"/>
    <n v="497.2"/>
  </r>
  <r>
    <x v="7"/>
    <x v="2"/>
    <x v="5"/>
    <x v="1"/>
    <x v="16"/>
    <x v="6"/>
    <n v="495.1"/>
  </r>
  <r>
    <x v="5"/>
    <x v="1"/>
    <x v="0"/>
    <x v="1"/>
    <x v="5"/>
    <x v="4"/>
    <n v="497.2"/>
  </r>
  <r>
    <x v="5"/>
    <x v="1"/>
    <x v="5"/>
    <x v="2"/>
    <x v="19"/>
    <x v="2"/>
    <n v="498.6"/>
  </r>
  <r>
    <x v="5"/>
    <x v="4"/>
    <x v="0"/>
    <x v="0"/>
    <x v="26"/>
    <x v="6"/>
    <n v="497.5"/>
  </r>
  <r>
    <x v="9"/>
    <x v="7"/>
    <x v="4"/>
    <x v="3"/>
    <x v="7"/>
    <x v="5"/>
    <n v="483.55"/>
  </r>
  <r>
    <x v="0"/>
    <x v="3"/>
    <x v="5"/>
    <x v="0"/>
    <x v="4"/>
    <x v="3"/>
    <n v="498.15"/>
  </r>
  <r>
    <x v="2"/>
    <x v="2"/>
    <x v="5"/>
    <x v="1"/>
    <x v="13"/>
    <x v="4"/>
    <n v="501.3"/>
  </r>
  <r>
    <x v="2"/>
    <x v="2"/>
    <x v="3"/>
    <x v="2"/>
    <x v="23"/>
    <x v="0"/>
    <n v="496.8"/>
  </r>
  <r>
    <x v="1"/>
    <x v="7"/>
    <x v="3"/>
    <x v="0"/>
    <x v="26"/>
    <x v="6"/>
    <n v="488"/>
  </r>
  <r>
    <x v="8"/>
    <x v="3"/>
    <x v="1"/>
    <x v="1"/>
    <x v="35"/>
    <x v="3"/>
    <n v="499.15"/>
  </r>
  <r>
    <x v="8"/>
    <x v="3"/>
    <x v="0"/>
    <x v="2"/>
    <x v="35"/>
    <x v="3"/>
    <n v="503.65"/>
  </r>
  <r>
    <x v="2"/>
    <x v="2"/>
    <x v="3"/>
    <x v="3"/>
    <x v="3"/>
    <x v="2"/>
    <n v="498"/>
  </r>
  <r>
    <x v="6"/>
    <x v="1"/>
    <x v="1"/>
    <x v="0"/>
    <x v="33"/>
    <x v="0"/>
    <n v="489.3"/>
  </r>
  <r>
    <x v="4"/>
    <x v="3"/>
    <x v="3"/>
    <x v="0"/>
    <x v="15"/>
    <x v="2"/>
    <n v="501.55"/>
  </r>
  <r>
    <x v="2"/>
    <x v="2"/>
    <x v="0"/>
    <x v="3"/>
    <x v="6"/>
    <x v="0"/>
    <n v="500.65"/>
  </r>
  <r>
    <x v="4"/>
    <x v="3"/>
    <x v="5"/>
    <x v="1"/>
    <x v="30"/>
    <x v="6"/>
    <n v="502.55"/>
  </r>
  <r>
    <x v="7"/>
    <x v="3"/>
    <x v="2"/>
    <x v="1"/>
    <x v="14"/>
    <x v="3"/>
    <n v="495.45"/>
  </r>
  <r>
    <x v="2"/>
    <x v="3"/>
    <x v="0"/>
    <x v="0"/>
    <x v="3"/>
    <x v="2"/>
    <n v="503.75"/>
  </r>
  <r>
    <x v="4"/>
    <x v="4"/>
    <x v="4"/>
    <x v="2"/>
    <x v="31"/>
    <x v="1"/>
    <n v="495.45"/>
  </r>
  <r>
    <x v="0"/>
    <x v="2"/>
    <x v="3"/>
    <x v="2"/>
    <x v="12"/>
    <x v="4"/>
    <n v="492.7"/>
  </r>
  <r>
    <x v="2"/>
    <x v="2"/>
    <x v="3"/>
    <x v="2"/>
    <x v="7"/>
    <x v="5"/>
    <n v="497.35"/>
  </r>
  <r>
    <x v="6"/>
    <x v="6"/>
    <x v="5"/>
    <x v="2"/>
    <x v="17"/>
    <x v="4"/>
    <n v="496.05"/>
  </r>
  <r>
    <x v="1"/>
    <x v="6"/>
    <x v="4"/>
    <x v="2"/>
    <x v="25"/>
    <x v="0"/>
    <n v="488.45"/>
  </r>
  <r>
    <x v="4"/>
    <x v="4"/>
    <x v="5"/>
    <x v="3"/>
    <x v="1"/>
    <x v="1"/>
    <n v="501.6"/>
  </r>
  <r>
    <x v="1"/>
    <x v="2"/>
    <x v="4"/>
    <x v="1"/>
    <x v="33"/>
    <x v="0"/>
    <n v="492.35"/>
  </r>
  <r>
    <x v="7"/>
    <x v="1"/>
    <x v="2"/>
    <x v="2"/>
    <x v="16"/>
    <x v="6"/>
    <n v="488.7"/>
  </r>
  <r>
    <x v="6"/>
    <x v="2"/>
    <x v="3"/>
    <x v="1"/>
    <x v="14"/>
    <x v="3"/>
    <n v="494.6"/>
  </r>
  <r>
    <x v="4"/>
    <x v="4"/>
    <x v="3"/>
    <x v="2"/>
    <x v="3"/>
    <x v="2"/>
    <n v="501.45"/>
  </r>
  <r>
    <x v="1"/>
    <x v="7"/>
    <x v="2"/>
    <x v="3"/>
    <x v="0"/>
    <x v="0"/>
    <n v="489.75"/>
  </r>
  <r>
    <x v="1"/>
    <x v="4"/>
    <x v="1"/>
    <x v="3"/>
    <x v="33"/>
    <x v="0"/>
    <n v="492.25"/>
  </r>
  <r>
    <x v="0"/>
    <x v="6"/>
    <x v="5"/>
    <x v="3"/>
    <x v="28"/>
    <x v="3"/>
    <n v="492.35"/>
  </r>
  <r>
    <x v="0"/>
    <x v="1"/>
    <x v="2"/>
    <x v="2"/>
    <x v="26"/>
    <x v="6"/>
    <n v="488"/>
  </r>
  <r>
    <x v="7"/>
    <x v="7"/>
    <x v="5"/>
    <x v="0"/>
    <x v="26"/>
    <x v="6"/>
    <n v="490.05"/>
  </r>
  <r>
    <x v="1"/>
    <x v="4"/>
    <x v="0"/>
    <x v="1"/>
    <x v="15"/>
    <x v="2"/>
    <n v="499.55"/>
  </r>
  <r>
    <x v="5"/>
    <x v="2"/>
    <x v="3"/>
    <x v="2"/>
    <x v="35"/>
    <x v="3"/>
    <n v="495.85"/>
  </r>
  <r>
    <x v="4"/>
    <x v="4"/>
    <x v="5"/>
    <x v="3"/>
    <x v="15"/>
    <x v="2"/>
    <n v="504.45"/>
  </r>
  <r>
    <x v="7"/>
    <x v="4"/>
    <x v="4"/>
    <x v="0"/>
    <x v="23"/>
    <x v="0"/>
    <n v="492.85"/>
  </r>
  <r>
    <x v="5"/>
    <x v="3"/>
    <x v="5"/>
    <x v="0"/>
    <x v="32"/>
    <x v="2"/>
    <n v="503.6"/>
  </r>
  <r>
    <x v="2"/>
    <x v="2"/>
    <x v="0"/>
    <x v="2"/>
    <x v="6"/>
    <x v="0"/>
    <n v="499.6"/>
  </r>
  <r>
    <x v="1"/>
    <x v="6"/>
    <x v="3"/>
    <x v="1"/>
    <x v="2"/>
    <x v="1"/>
    <n v="490.25"/>
  </r>
  <r>
    <x v="9"/>
    <x v="3"/>
    <x v="2"/>
    <x v="2"/>
    <x v="31"/>
    <x v="1"/>
    <n v="490.35"/>
  </r>
  <r>
    <x v="1"/>
    <x v="1"/>
    <x v="0"/>
    <x v="2"/>
    <x v="29"/>
    <x v="6"/>
    <n v="492.55"/>
  </r>
  <r>
    <x v="2"/>
    <x v="2"/>
    <x v="3"/>
    <x v="2"/>
    <x v="30"/>
    <x v="6"/>
    <n v="496.05"/>
  </r>
  <r>
    <x v="3"/>
    <x v="6"/>
    <x v="5"/>
    <x v="2"/>
    <x v="3"/>
    <x v="2"/>
    <n v="491.65"/>
  </r>
  <r>
    <x v="7"/>
    <x v="7"/>
    <x v="1"/>
    <x v="0"/>
    <x v="5"/>
    <x v="4"/>
    <n v="484.5"/>
  </r>
  <r>
    <x v="8"/>
    <x v="3"/>
    <x v="1"/>
    <x v="2"/>
    <x v="16"/>
    <x v="6"/>
    <n v="495.35"/>
  </r>
  <r>
    <x v="5"/>
    <x v="4"/>
    <x v="4"/>
    <x v="3"/>
    <x v="2"/>
    <x v="1"/>
    <n v="494.45"/>
  </r>
  <r>
    <x v="8"/>
    <x v="3"/>
    <x v="3"/>
    <x v="0"/>
    <x v="10"/>
    <x v="1"/>
    <n v="499.9"/>
  </r>
  <r>
    <x v="9"/>
    <x v="1"/>
    <x v="1"/>
    <x v="2"/>
    <x v="33"/>
    <x v="0"/>
    <n v="484.25"/>
  </r>
  <r>
    <x v="6"/>
    <x v="6"/>
    <x v="2"/>
    <x v="1"/>
    <x v="24"/>
    <x v="5"/>
    <n v="489.55"/>
  </r>
  <r>
    <x v="8"/>
    <x v="3"/>
    <x v="3"/>
    <x v="2"/>
    <x v="1"/>
    <x v="1"/>
    <n v="501.15"/>
  </r>
  <r>
    <x v="4"/>
    <x v="4"/>
    <x v="2"/>
    <x v="1"/>
    <x v="12"/>
    <x v="4"/>
    <n v="498.85"/>
  </r>
  <r>
    <x v="1"/>
    <x v="6"/>
    <x v="2"/>
    <x v="3"/>
    <x v="5"/>
    <x v="4"/>
    <n v="491.25"/>
  </r>
  <r>
    <x v="3"/>
    <x v="3"/>
    <x v="1"/>
    <x v="3"/>
    <x v="31"/>
    <x v="1"/>
    <n v="488.9"/>
  </r>
  <r>
    <x v="8"/>
    <x v="3"/>
    <x v="3"/>
    <x v="1"/>
    <x v="22"/>
    <x v="3"/>
    <n v="501.95"/>
  </r>
  <r>
    <x v="7"/>
    <x v="4"/>
    <x v="5"/>
    <x v="3"/>
    <x v="20"/>
    <x v="1"/>
    <n v="496.75"/>
  </r>
  <r>
    <x v="8"/>
    <x v="3"/>
    <x v="0"/>
    <x v="0"/>
    <x v="35"/>
    <x v="3"/>
    <n v="504.95"/>
  </r>
  <r>
    <x v="5"/>
    <x v="2"/>
    <x v="1"/>
    <x v="2"/>
    <x v="26"/>
    <x v="6"/>
    <n v="490.7"/>
  </r>
  <r>
    <x v="7"/>
    <x v="1"/>
    <x v="1"/>
    <x v="0"/>
    <x v="13"/>
    <x v="4"/>
    <n v="489.1"/>
  </r>
  <r>
    <x v="9"/>
    <x v="4"/>
    <x v="5"/>
    <x v="1"/>
    <x v="16"/>
    <x v="6"/>
    <n v="494.55"/>
  </r>
  <r>
    <x v="4"/>
    <x v="4"/>
    <x v="3"/>
    <x v="0"/>
    <x v="5"/>
    <x v="4"/>
    <n v="499.4"/>
  </r>
  <r>
    <x v="5"/>
    <x v="1"/>
    <x v="3"/>
    <x v="1"/>
    <x v="16"/>
    <x v="6"/>
    <n v="493.65"/>
  </r>
  <r>
    <x v="6"/>
    <x v="6"/>
    <x v="2"/>
    <x v="2"/>
    <x v="17"/>
    <x v="4"/>
    <n v="490.55"/>
  </r>
  <r>
    <x v="6"/>
    <x v="1"/>
    <x v="5"/>
    <x v="0"/>
    <x v="26"/>
    <x v="6"/>
    <n v="495.5"/>
  </r>
  <r>
    <x v="6"/>
    <x v="6"/>
    <x v="5"/>
    <x v="1"/>
    <x v="22"/>
    <x v="3"/>
    <n v="496.3"/>
  </r>
  <r>
    <x v="1"/>
    <x v="7"/>
    <x v="3"/>
    <x v="1"/>
    <x v="4"/>
    <x v="3"/>
    <n v="490.9"/>
  </r>
  <r>
    <x v="2"/>
    <x v="2"/>
    <x v="2"/>
    <x v="3"/>
    <x v="9"/>
    <x v="5"/>
    <n v="495.9"/>
  </r>
  <r>
    <x v="7"/>
    <x v="4"/>
    <x v="1"/>
    <x v="2"/>
    <x v="2"/>
    <x v="1"/>
    <n v="488.25"/>
  </r>
  <r>
    <x v="7"/>
    <x v="6"/>
    <x v="4"/>
    <x v="1"/>
    <x v="15"/>
    <x v="2"/>
    <n v="488.5"/>
  </r>
  <r>
    <x v="0"/>
    <x v="0"/>
    <x v="0"/>
    <x v="2"/>
    <x v="18"/>
    <x v="5"/>
    <n v="486.9"/>
  </r>
  <r>
    <x v="7"/>
    <x v="0"/>
    <x v="1"/>
    <x v="0"/>
    <x v="27"/>
    <x v="6"/>
    <n v="481.35"/>
  </r>
  <r>
    <x v="8"/>
    <x v="3"/>
    <x v="3"/>
    <x v="0"/>
    <x v="1"/>
    <x v="1"/>
    <n v="501.8"/>
  </r>
  <r>
    <x v="5"/>
    <x v="4"/>
    <x v="0"/>
    <x v="2"/>
    <x v="7"/>
    <x v="5"/>
    <n v="498.35"/>
  </r>
  <r>
    <x v="9"/>
    <x v="4"/>
    <x v="4"/>
    <x v="0"/>
    <x v="25"/>
    <x v="0"/>
    <n v="488.8"/>
  </r>
  <r>
    <x v="8"/>
    <x v="3"/>
    <x v="4"/>
    <x v="3"/>
    <x v="0"/>
    <x v="0"/>
    <n v="498.9"/>
  </r>
  <r>
    <x v="1"/>
    <x v="6"/>
    <x v="2"/>
    <x v="0"/>
    <x v="6"/>
    <x v="0"/>
    <n v="490.55"/>
  </r>
  <r>
    <x v="5"/>
    <x v="1"/>
    <x v="0"/>
    <x v="3"/>
    <x v="4"/>
    <x v="3"/>
    <n v="497.6"/>
  </r>
  <r>
    <x v="8"/>
    <x v="3"/>
    <x v="2"/>
    <x v="3"/>
    <x v="12"/>
    <x v="4"/>
    <n v="501.45"/>
  </r>
  <r>
    <x v="1"/>
    <x v="2"/>
    <x v="1"/>
    <x v="2"/>
    <x v="3"/>
    <x v="2"/>
    <n v="491.15"/>
  </r>
  <r>
    <x v="8"/>
    <x v="3"/>
    <x v="5"/>
    <x v="2"/>
    <x v="30"/>
    <x v="6"/>
    <n v="503.15"/>
  </r>
  <r>
    <x v="0"/>
    <x v="2"/>
    <x v="5"/>
    <x v="2"/>
    <x v="30"/>
    <x v="6"/>
    <n v="493.5"/>
  </r>
  <r>
    <x v="8"/>
    <x v="3"/>
    <x v="5"/>
    <x v="0"/>
    <x v="25"/>
    <x v="0"/>
    <n v="506.2"/>
  </r>
  <r>
    <x v="6"/>
    <x v="6"/>
    <x v="0"/>
    <x v="1"/>
    <x v="21"/>
    <x v="4"/>
    <n v="495.3"/>
  </r>
  <r>
    <x v="0"/>
    <x v="7"/>
    <x v="5"/>
    <x v="2"/>
    <x v="6"/>
    <x v="0"/>
    <n v="491.65"/>
  </r>
  <r>
    <x v="0"/>
    <x v="1"/>
    <x v="1"/>
    <x v="0"/>
    <x v="33"/>
    <x v="0"/>
    <n v="486.5"/>
  </r>
  <r>
    <x v="4"/>
    <x v="4"/>
    <x v="2"/>
    <x v="0"/>
    <x v="4"/>
    <x v="3"/>
    <n v="497.75"/>
  </r>
  <r>
    <x v="4"/>
    <x v="4"/>
    <x v="0"/>
    <x v="3"/>
    <x v="22"/>
    <x v="3"/>
    <n v="501"/>
  </r>
  <r>
    <x v="5"/>
    <x v="1"/>
    <x v="2"/>
    <x v="0"/>
    <x v="27"/>
    <x v="6"/>
    <n v="492.25"/>
  </r>
  <r>
    <x v="5"/>
    <x v="1"/>
    <x v="0"/>
    <x v="2"/>
    <x v="3"/>
    <x v="2"/>
    <n v="498.45"/>
  </r>
  <r>
    <x v="5"/>
    <x v="1"/>
    <x v="2"/>
    <x v="2"/>
    <x v="25"/>
    <x v="0"/>
    <n v="492.35"/>
  </r>
  <r>
    <x v="2"/>
    <x v="3"/>
    <x v="4"/>
    <x v="2"/>
    <x v="27"/>
    <x v="6"/>
    <n v="496.7"/>
  </r>
  <r>
    <x v="4"/>
    <x v="4"/>
    <x v="2"/>
    <x v="0"/>
    <x v="9"/>
    <x v="5"/>
    <n v="497.65"/>
  </r>
  <r>
    <x v="3"/>
    <x v="0"/>
    <x v="5"/>
    <x v="2"/>
    <x v="14"/>
    <x v="3"/>
    <n v="487.85"/>
  </r>
  <r>
    <x v="8"/>
    <x v="3"/>
    <x v="4"/>
    <x v="2"/>
    <x v="31"/>
    <x v="1"/>
    <n v="498.85"/>
  </r>
  <r>
    <x v="3"/>
    <x v="2"/>
    <x v="2"/>
    <x v="3"/>
    <x v="15"/>
    <x v="2"/>
    <n v="491.55"/>
  </r>
  <r>
    <x v="2"/>
    <x v="2"/>
    <x v="0"/>
    <x v="2"/>
    <x v="15"/>
    <x v="2"/>
    <n v="500.45"/>
  </r>
  <r>
    <x v="8"/>
    <x v="3"/>
    <x v="0"/>
    <x v="1"/>
    <x v="30"/>
    <x v="6"/>
    <n v="502.65"/>
  </r>
  <r>
    <x v="8"/>
    <x v="3"/>
    <x v="0"/>
    <x v="0"/>
    <x v="19"/>
    <x v="2"/>
    <n v="506.8"/>
  </r>
  <r>
    <x v="0"/>
    <x v="6"/>
    <x v="3"/>
    <x v="0"/>
    <x v="30"/>
    <x v="6"/>
    <n v="487.1"/>
  </r>
  <r>
    <x v="7"/>
    <x v="6"/>
    <x v="1"/>
    <x v="2"/>
    <x v="31"/>
    <x v="1"/>
    <n v="485.05"/>
  </r>
  <r>
    <x v="7"/>
    <x v="0"/>
    <x v="0"/>
    <x v="1"/>
    <x v="16"/>
    <x v="6"/>
    <n v="487.8"/>
  </r>
  <r>
    <x v="1"/>
    <x v="3"/>
    <x v="4"/>
    <x v="0"/>
    <x v="18"/>
    <x v="5"/>
    <n v="494.65"/>
  </r>
  <r>
    <x v="1"/>
    <x v="7"/>
    <x v="0"/>
    <x v="3"/>
    <x v="0"/>
    <x v="0"/>
    <n v="490.95"/>
  </r>
  <r>
    <x v="4"/>
    <x v="4"/>
    <x v="3"/>
    <x v="2"/>
    <x v="29"/>
    <x v="6"/>
    <n v="498.85"/>
  </r>
  <r>
    <x v="0"/>
    <x v="6"/>
    <x v="5"/>
    <x v="2"/>
    <x v="1"/>
    <x v="1"/>
    <n v="489.5"/>
  </r>
  <r>
    <x v="6"/>
    <x v="2"/>
    <x v="4"/>
    <x v="2"/>
    <x v="13"/>
    <x v="4"/>
    <n v="492.25"/>
  </r>
  <r>
    <x v="7"/>
    <x v="0"/>
    <x v="3"/>
    <x v="2"/>
    <x v="7"/>
    <x v="5"/>
    <n v="486.4"/>
  </r>
  <r>
    <x v="8"/>
    <x v="3"/>
    <x v="5"/>
    <x v="3"/>
    <x v="21"/>
    <x v="4"/>
    <n v="506.75"/>
  </r>
  <r>
    <x v="2"/>
    <x v="4"/>
    <x v="4"/>
    <x v="0"/>
    <x v="33"/>
    <x v="0"/>
    <n v="495.7"/>
  </r>
  <r>
    <x v="8"/>
    <x v="3"/>
    <x v="2"/>
    <x v="0"/>
    <x v="33"/>
    <x v="0"/>
    <n v="502.35"/>
  </r>
  <r>
    <x v="3"/>
    <x v="3"/>
    <x v="1"/>
    <x v="0"/>
    <x v="32"/>
    <x v="2"/>
    <n v="490.45"/>
  </r>
  <r>
    <x v="8"/>
    <x v="3"/>
    <x v="1"/>
    <x v="2"/>
    <x v="31"/>
    <x v="1"/>
    <n v="495.4"/>
  </r>
  <r>
    <x v="1"/>
    <x v="3"/>
    <x v="3"/>
    <x v="3"/>
    <x v="9"/>
    <x v="5"/>
    <n v="496.1"/>
  </r>
  <r>
    <x v="1"/>
    <x v="4"/>
    <x v="5"/>
    <x v="3"/>
    <x v="17"/>
    <x v="4"/>
    <n v="499.9"/>
  </r>
  <r>
    <x v="5"/>
    <x v="1"/>
    <x v="1"/>
    <x v="2"/>
    <x v="11"/>
    <x v="5"/>
    <n v="490.3"/>
  </r>
  <r>
    <x v="9"/>
    <x v="7"/>
    <x v="5"/>
    <x v="3"/>
    <x v="28"/>
    <x v="3"/>
    <n v="488.3"/>
  </r>
  <r>
    <x v="9"/>
    <x v="0"/>
    <x v="5"/>
    <x v="3"/>
    <x v="28"/>
    <x v="3"/>
    <n v="488.25"/>
  </r>
  <r>
    <x v="6"/>
    <x v="6"/>
    <x v="3"/>
    <x v="0"/>
    <x v="25"/>
    <x v="0"/>
    <n v="493.1"/>
  </r>
  <r>
    <x v="2"/>
    <x v="2"/>
    <x v="3"/>
    <x v="1"/>
    <x v="8"/>
    <x v="1"/>
    <n v="496.15"/>
  </r>
  <r>
    <x v="0"/>
    <x v="4"/>
    <x v="3"/>
    <x v="2"/>
    <x v="16"/>
    <x v="6"/>
    <n v="493.05"/>
  </r>
  <r>
    <x v="5"/>
    <x v="4"/>
    <x v="1"/>
    <x v="0"/>
    <x v="12"/>
    <x v="4"/>
    <n v="494"/>
  </r>
  <r>
    <x v="2"/>
    <x v="2"/>
    <x v="3"/>
    <x v="2"/>
    <x v="19"/>
    <x v="2"/>
    <n v="498.55"/>
  </r>
  <r>
    <x v="8"/>
    <x v="3"/>
    <x v="1"/>
    <x v="3"/>
    <x v="7"/>
    <x v="5"/>
    <n v="498.5"/>
  </r>
  <r>
    <x v="4"/>
    <x v="4"/>
    <x v="3"/>
    <x v="1"/>
    <x v="17"/>
    <x v="4"/>
    <n v="501.2"/>
  </r>
  <r>
    <x v="0"/>
    <x v="4"/>
    <x v="0"/>
    <x v="1"/>
    <x v="18"/>
    <x v="5"/>
    <n v="494.45"/>
  </r>
  <r>
    <x v="0"/>
    <x v="1"/>
    <x v="5"/>
    <x v="1"/>
    <x v="31"/>
    <x v="1"/>
    <n v="492.35"/>
  </r>
  <r>
    <x v="7"/>
    <x v="2"/>
    <x v="3"/>
    <x v="2"/>
    <x v="20"/>
    <x v="1"/>
    <n v="490.5"/>
  </r>
  <r>
    <x v="0"/>
    <x v="3"/>
    <x v="4"/>
    <x v="1"/>
    <x v="33"/>
    <x v="0"/>
    <n v="492.85"/>
  </r>
  <r>
    <x v="7"/>
    <x v="3"/>
    <x v="5"/>
    <x v="1"/>
    <x v="34"/>
    <x v="2"/>
    <n v="500.05"/>
  </r>
  <r>
    <x v="5"/>
    <x v="1"/>
    <x v="5"/>
    <x v="2"/>
    <x v="17"/>
    <x v="4"/>
    <n v="499.05"/>
  </r>
  <r>
    <x v="1"/>
    <x v="6"/>
    <x v="3"/>
    <x v="1"/>
    <x v="24"/>
    <x v="5"/>
    <n v="489.75"/>
  </r>
  <r>
    <x v="2"/>
    <x v="3"/>
    <x v="2"/>
    <x v="0"/>
    <x v="26"/>
    <x v="6"/>
    <n v="497.5"/>
  </r>
  <r>
    <x v="1"/>
    <x v="7"/>
    <x v="3"/>
    <x v="2"/>
    <x v="13"/>
    <x v="4"/>
    <n v="491.4"/>
  </r>
  <r>
    <x v="7"/>
    <x v="2"/>
    <x v="5"/>
    <x v="0"/>
    <x v="0"/>
    <x v="0"/>
    <n v="496.6"/>
  </r>
  <r>
    <x v="0"/>
    <x v="4"/>
    <x v="4"/>
    <x v="2"/>
    <x v="14"/>
    <x v="3"/>
    <n v="489.85"/>
  </r>
  <r>
    <x v="7"/>
    <x v="1"/>
    <x v="5"/>
    <x v="0"/>
    <x v="3"/>
    <x v="2"/>
    <n v="496.65"/>
  </r>
  <r>
    <x v="6"/>
    <x v="2"/>
    <x v="4"/>
    <x v="2"/>
    <x v="12"/>
    <x v="4"/>
    <n v="493.4"/>
  </r>
  <r>
    <x v="2"/>
    <x v="2"/>
    <x v="1"/>
    <x v="1"/>
    <x v="6"/>
    <x v="0"/>
    <n v="492.9"/>
  </r>
  <r>
    <x v="1"/>
    <x v="2"/>
    <x v="0"/>
    <x v="1"/>
    <x v="8"/>
    <x v="1"/>
    <n v="494.7"/>
  </r>
  <r>
    <x v="3"/>
    <x v="2"/>
    <x v="5"/>
    <x v="0"/>
    <x v="29"/>
    <x v="6"/>
    <n v="493.8"/>
  </r>
  <r>
    <x v="5"/>
    <x v="1"/>
    <x v="3"/>
    <x v="1"/>
    <x v="28"/>
    <x v="3"/>
    <n v="495.6"/>
  </r>
  <r>
    <x v="8"/>
    <x v="3"/>
    <x v="1"/>
    <x v="2"/>
    <x v="25"/>
    <x v="0"/>
    <n v="497.4"/>
  </r>
  <r>
    <x v="1"/>
    <x v="7"/>
    <x v="0"/>
    <x v="2"/>
    <x v="2"/>
    <x v="1"/>
    <n v="489.5"/>
  </r>
  <r>
    <x v="8"/>
    <x v="3"/>
    <x v="3"/>
    <x v="1"/>
    <x v="29"/>
    <x v="6"/>
    <n v="501.3"/>
  </r>
  <r>
    <x v="4"/>
    <x v="4"/>
    <x v="2"/>
    <x v="1"/>
    <x v="31"/>
    <x v="1"/>
    <n v="496.45"/>
  </r>
  <r>
    <x v="5"/>
    <x v="1"/>
    <x v="3"/>
    <x v="0"/>
    <x v="21"/>
    <x v="4"/>
    <n v="496.4"/>
  </r>
  <r>
    <x v="4"/>
    <x v="4"/>
    <x v="4"/>
    <x v="3"/>
    <x v="15"/>
    <x v="2"/>
    <n v="497.95"/>
  </r>
  <r>
    <x v="5"/>
    <x v="3"/>
    <x v="4"/>
    <x v="3"/>
    <x v="29"/>
    <x v="6"/>
    <n v="495.35"/>
  </r>
  <r>
    <x v="5"/>
    <x v="1"/>
    <x v="2"/>
    <x v="1"/>
    <x v="20"/>
    <x v="1"/>
    <n v="491.7"/>
  </r>
  <r>
    <x v="6"/>
    <x v="1"/>
    <x v="1"/>
    <x v="2"/>
    <x v="2"/>
    <x v="1"/>
    <n v="487.5"/>
  </r>
  <r>
    <x v="8"/>
    <x v="3"/>
    <x v="0"/>
    <x v="0"/>
    <x v="33"/>
    <x v="0"/>
    <n v="503.35"/>
  </r>
  <r>
    <x v="7"/>
    <x v="0"/>
    <x v="3"/>
    <x v="2"/>
    <x v="4"/>
    <x v="3"/>
    <n v="487.05"/>
  </r>
  <r>
    <x v="8"/>
    <x v="3"/>
    <x v="4"/>
    <x v="0"/>
    <x v="0"/>
    <x v="0"/>
    <n v="498.6"/>
  </r>
  <r>
    <x v="8"/>
    <x v="3"/>
    <x v="1"/>
    <x v="0"/>
    <x v="20"/>
    <x v="1"/>
    <n v="496.85"/>
  </r>
  <r>
    <x v="2"/>
    <x v="3"/>
    <x v="2"/>
    <x v="3"/>
    <x v="6"/>
    <x v="0"/>
    <n v="500.1"/>
  </r>
  <r>
    <x v="3"/>
    <x v="7"/>
    <x v="5"/>
    <x v="0"/>
    <x v="18"/>
    <x v="5"/>
    <n v="489.8"/>
  </r>
  <r>
    <x v="3"/>
    <x v="4"/>
    <x v="4"/>
    <x v="3"/>
    <x v="6"/>
    <x v="0"/>
    <n v="490.5"/>
  </r>
  <r>
    <x v="9"/>
    <x v="0"/>
    <x v="2"/>
    <x v="0"/>
    <x v="30"/>
    <x v="6"/>
    <n v="481.25"/>
  </r>
  <r>
    <x v="4"/>
    <x v="4"/>
    <x v="3"/>
    <x v="1"/>
    <x v="20"/>
    <x v="1"/>
    <n v="497.05"/>
  </r>
  <r>
    <x v="9"/>
    <x v="2"/>
    <x v="0"/>
    <x v="0"/>
    <x v="7"/>
    <x v="5"/>
    <n v="491.2"/>
  </r>
  <r>
    <x v="6"/>
    <x v="6"/>
    <x v="4"/>
    <x v="1"/>
    <x v="2"/>
    <x v="1"/>
    <n v="488.55"/>
  </r>
  <r>
    <x v="2"/>
    <x v="4"/>
    <x v="4"/>
    <x v="0"/>
    <x v="23"/>
    <x v="0"/>
    <n v="496.15"/>
  </r>
  <r>
    <x v="1"/>
    <x v="2"/>
    <x v="3"/>
    <x v="2"/>
    <x v="11"/>
    <x v="5"/>
    <n v="493.55"/>
  </r>
  <r>
    <x v="4"/>
    <x v="4"/>
    <x v="5"/>
    <x v="0"/>
    <x v="31"/>
    <x v="1"/>
    <n v="500.15"/>
  </r>
  <r>
    <x v="2"/>
    <x v="2"/>
    <x v="1"/>
    <x v="2"/>
    <x v="1"/>
    <x v="1"/>
    <n v="489.45"/>
  </r>
  <r>
    <x v="4"/>
    <x v="4"/>
    <x v="0"/>
    <x v="2"/>
    <x v="31"/>
    <x v="1"/>
    <n v="499.85"/>
  </r>
  <r>
    <x v="8"/>
    <x v="3"/>
    <x v="4"/>
    <x v="0"/>
    <x v="33"/>
    <x v="0"/>
    <n v="499.45"/>
  </r>
  <r>
    <x v="0"/>
    <x v="1"/>
    <x v="0"/>
    <x v="3"/>
    <x v="20"/>
    <x v="1"/>
    <n v="490.2"/>
  </r>
  <r>
    <x v="8"/>
    <x v="3"/>
    <x v="4"/>
    <x v="2"/>
    <x v="15"/>
    <x v="2"/>
    <n v="500.45"/>
  </r>
  <r>
    <x v="6"/>
    <x v="3"/>
    <x v="0"/>
    <x v="1"/>
    <x v="4"/>
    <x v="3"/>
    <n v="499.85"/>
  </r>
  <r>
    <x v="8"/>
    <x v="3"/>
    <x v="2"/>
    <x v="2"/>
    <x v="34"/>
    <x v="2"/>
    <n v="502.25"/>
  </r>
  <r>
    <x v="7"/>
    <x v="1"/>
    <x v="4"/>
    <x v="2"/>
    <x v="18"/>
    <x v="5"/>
    <n v="488.15"/>
  </r>
  <r>
    <x v="8"/>
    <x v="3"/>
    <x v="0"/>
    <x v="2"/>
    <x v="21"/>
    <x v="4"/>
    <n v="504.75"/>
  </r>
  <r>
    <x v="1"/>
    <x v="7"/>
    <x v="1"/>
    <x v="2"/>
    <x v="35"/>
    <x v="3"/>
    <n v="485.75"/>
  </r>
  <r>
    <x v="1"/>
    <x v="7"/>
    <x v="2"/>
    <x v="0"/>
    <x v="24"/>
    <x v="5"/>
    <n v="487.45"/>
  </r>
  <r>
    <x v="7"/>
    <x v="0"/>
    <x v="2"/>
    <x v="0"/>
    <x v="32"/>
    <x v="2"/>
    <n v="488.05"/>
  </r>
  <r>
    <x v="5"/>
    <x v="1"/>
    <x v="1"/>
    <x v="0"/>
    <x v="26"/>
    <x v="6"/>
    <n v="488.9"/>
  </r>
  <r>
    <x v="5"/>
    <x v="1"/>
    <x v="0"/>
    <x v="3"/>
    <x v="35"/>
    <x v="3"/>
    <n v="495.35"/>
  </r>
  <r>
    <x v="8"/>
    <x v="3"/>
    <x v="3"/>
    <x v="2"/>
    <x v="3"/>
    <x v="2"/>
    <n v="503.75"/>
  </r>
  <r>
    <x v="5"/>
    <x v="2"/>
    <x v="1"/>
    <x v="0"/>
    <x v="21"/>
    <x v="4"/>
    <n v="492.25"/>
  </r>
  <r>
    <x v="1"/>
    <x v="7"/>
    <x v="0"/>
    <x v="0"/>
    <x v="24"/>
    <x v="5"/>
    <n v="490.85"/>
  </r>
  <r>
    <x v="3"/>
    <x v="0"/>
    <x v="1"/>
    <x v="3"/>
    <x v="28"/>
    <x v="3"/>
    <n v="480.5"/>
  </r>
  <r>
    <x v="6"/>
    <x v="3"/>
    <x v="1"/>
    <x v="1"/>
    <x v="35"/>
    <x v="3"/>
    <n v="493.4"/>
  </r>
  <r>
    <x v="5"/>
    <x v="1"/>
    <x v="4"/>
    <x v="1"/>
    <x v="9"/>
    <x v="5"/>
    <n v="490.2"/>
  </r>
  <r>
    <x v="8"/>
    <x v="3"/>
    <x v="0"/>
    <x v="2"/>
    <x v="11"/>
    <x v="5"/>
    <n v="501.8"/>
  </r>
  <r>
    <x v="8"/>
    <x v="3"/>
    <x v="3"/>
    <x v="0"/>
    <x v="6"/>
    <x v="0"/>
    <n v="504.3"/>
  </r>
  <r>
    <x v="8"/>
    <x v="3"/>
    <x v="4"/>
    <x v="0"/>
    <x v="10"/>
    <x v="1"/>
    <n v="496.9"/>
  </r>
  <r>
    <x v="0"/>
    <x v="5"/>
    <x v="1"/>
    <x v="2"/>
    <x v="16"/>
    <x v="6"/>
    <n v="478.2"/>
  </r>
  <r>
    <x v="2"/>
    <x v="2"/>
    <x v="5"/>
    <x v="2"/>
    <x v="34"/>
    <x v="2"/>
    <n v="502.2"/>
  </r>
  <r>
    <x v="6"/>
    <x v="2"/>
    <x v="1"/>
    <x v="2"/>
    <x v="34"/>
    <x v="2"/>
    <n v="490.9"/>
  </r>
  <r>
    <x v="3"/>
    <x v="0"/>
    <x v="1"/>
    <x v="3"/>
    <x v="18"/>
    <x v="5"/>
    <n v="480.5"/>
  </r>
  <r>
    <x v="7"/>
    <x v="0"/>
    <x v="0"/>
    <x v="2"/>
    <x v="25"/>
    <x v="0"/>
    <n v="488.9"/>
  </r>
  <r>
    <x v="2"/>
    <x v="2"/>
    <x v="0"/>
    <x v="1"/>
    <x v="32"/>
    <x v="2"/>
    <n v="500.2"/>
  </r>
  <r>
    <x v="6"/>
    <x v="4"/>
    <x v="4"/>
    <x v="3"/>
    <x v="28"/>
    <x v="3"/>
    <n v="493.6"/>
  </r>
  <r>
    <x v="3"/>
    <x v="0"/>
    <x v="3"/>
    <x v="2"/>
    <x v="24"/>
    <x v="5"/>
    <n v="483.4"/>
  </r>
  <r>
    <x v="1"/>
    <x v="7"/>
    <x v="4"/>
    <x v="2"/>
    <x v="23"/>
    <x v="0"/>
    <n v="487.85"/>
  </r>
  <r>
    <x v="4"/>
    <x v="4"/>
    <x v="2"/>
    <x v="0"/>
    <x v="6"/>
    <x v="0"/>
    <n v="498.8"/>
  </r>
  <r>
    <x v="6"/>
    <x v="2"/>
    <x v="1"/>
    <x v="3"/>
    <x v="31"/>
    <x v="1"/>
    <n v="489.15"/>
  </r>
  <r>
    <x v="9"/>
    <x v="2"/>
    <x v="5"/>
    <x v="0"/>
    <x v="6"/>
    <x v="0"/>
    <n v="494.1"/>
  </r>
  <r>
    <x v="6"/>
    <x v="3"/>
    <x v="1"/>
    <x v="3"/>
    <x v="14"/>
    <x v="3"/>
    <n v="494.9"/>
  </r>
  <r>
    <x v="9"/>
    <x v="5"/>
    <x v="1"/>
    <x v="3"/>
    <x v="29"/>
    <x v="6"/>
    <n v="478.55"/>
  </r>
  <r>
    <x v="1"/>
    <x v="3"/>
    <x v="4"/>
    <x v="2"/>
    <x v="14"/>
    <x v="3"/>
    <n v="493.4"/>
  </r>
  <r>
    <x v="3"/>
    <x v="5"/>
    <x v="5"/>
    <x v="1"/>
    <x v="9"/>
    <x v="5"/>
    <n v="486.85"/>
  </r>
  <r>
    <x v="9"/>
    <x v="5"/>
    <x v="5"/>
    <x v="1"/>
    <x v="6"/>
    <x v="0"/>
    <n v="486.05"/>
  </r>
  <r>
    <x v="5"/>
    <x v="2"/>
    <x v="5"/>
    <x v="0"/>
    <x v="18"/>
    <x v="5"/>
    <n v="499.15"/>
  </r>
  <r>
    <x v="6"/>
    <x v="6"/>
    <x v="4"/>
    <x v="0"/>
    <x v="34"/>
    <x v="2"/>
    <n v="489.4"/>
  </r>
  <r>
    <x v="7"/>
    <x v="6"/>
    <x v="1"/>
    <x v="2"/>
    <x v="9"/>
    <x v="5"/>
    <n v="484.1"/>
  </r>
  <r>
    <x v="8"/>
    <x v="3"/>
    <x v="4"/>
    <x v="1"/>
    <x v="24"/>
    <x v="5"/>
    <n v="500.1"/>
  </r>
  <r>
    <x v="4"/>
    <x v="3"/>
    <x v="0"/>
    <x v="0"/>
    <x v="21"/>
    <x v="4"/>
    <n v="504.15"/>
  </r>
  <r>
    <x v="7"/>
    <x v="0"/>
    <x v="0"/>
    <x v="3"/>
    <x v="7"/>
    <x v="5"/>
    <n v="488.05"/>
  </r>
  <r>
    <x v="2"/>
    <x v="3"/>
    <x v="4"/>
    <x v="3"/>
    <x v="35"/>
    <x v="3"/>
    <n v="496.5"/>
  </r>
  <r>
    <x v="9"/>
    <x v="1"/>
    <x v="5"/>
    <x v="2"/>
    <x v="19"/>
    <x v="2"/>
    <n v="494"/>
  </r>
  <r>
    <x v="6"/>
    <x v="6"/>
    <x v="1"/>
    <x v="2"/>
    <x v="13"/>
    <x v="4"/>
    <n v="489.4"/>
  </r>
  <r>
    <x v="2"/>
    <x v="2"/>
    <x v="4"/>
    <x v="0"/>
    <x v="32"/>
    <x v="2"/>
    <n v="495.5"/>
  </r>
  <r>
    <x v="6"/>
    <x v="3"/>
    <x v="4"/>
    <x v="2"/>
    <x v="19"/>
    <x v="2"/>
    <n v="496.7"/>
  </r>
  <r>
    <x v="1"/>
    <x v="7"/>
    <x v="4"/>
    <x v="3"/>
    <x v="33"/>
    <x v="0"/>
    <n v="487.75"/>
  </r>
  <r>
    <x v="6"/>
    <x v="6"/>
    <x v="2"/>
    <x v="1"/>
    <x v="25"/>
    <x v="0"/>
    <n v="491.85"/>
  </r>
  <r>
    <x v="2"/>
    <x v="3"/>
    <x v="0"/>
    <x v="0"/>
    <x v="7"/>
    <x v="5"/>
    <n v="500.95"/>
  </r>
  <r>
    <x v="6"/>
    <x v="3"/>
    <x v="5"/>
    <x v="1"/>
    <x v="7"/>
    <x v="5"/>
    <n v="501.8"/>
  </r>
  <r>
    <x v="8"/>
    <x v="3"/>
    <x v="3"/>
    <x v="2"/>
    <x v="22"/>
    <x v="3"/>
    <n v="502.85"/>
  </r>
  <r>
    <x v="3"/>
    <x v="2"/>
    <x v="5"/>
    <x v="3"/>
    <x v="26"/>
    <x v="6"/>
    <n v="493.75"/>
  </r>
  <r>
    <x v="6"/>
    <x v="6"/>
    <x v="3"/>
    <x v="0"/>
    <x v="23"/>
    <x v="0"/>
    <n v="491.55"/>
  </r>
  <r>
    <x v="2"/>
    <x v="2"/>
    <x v="2"/>
    <x v="3"/>
    <x v="28"/>
    <x v="3"/>
    <n v="495.75"/>
  </r>
  <r>
    <x v="4"/>
    <x v="4"/>
    <x v="4"/>
    <x v="2"/>
    <x v="8"/>
    <x v="1"/>
    <n v="495.75"/>
  </r>
  <r>
    <x v="8"/>
    <x v="3"/>
    <x v="2"/>
    <x v="1"/>
    <x v="33"/>
    <x v="0"/>
    <n v="501.5"/>
  </r>
  <r>
    <x v="9"/>
    <x v="4"/>
    <x v="2"/>
    <x v="1"/>
    <x v="25"/>
    <x v="0"/>
    <n v="491.05"/>
  </r>
  <r>
    <x v="6"/>
    <x v="3"/>
    <x v="1"/>
    <x v="1"/>
    <x v="28"/>
    <x v="3"/>
    <n v="494"/>
  </r>
  <r>
    <x v="3"/>
    <x v="2"/>
    <x v="0"/>
    <x v="2"/>
    <x v="30"/>
    <x v="6"/>
    <n v="490.7"/>
  </r>
  <r>
    <x v="3"/>
    <x v="2"/>
    <x v="3"/>
    <x v="0"/>
    <x v="15"/>
    <x v="2"/>
    <n v="492.1"/>
  </r>
  <r>
    <x v="9"/>
    <x v="4"/>
    <x v="4"/>
    <x v="0"/>
    <x v="16"/>
    <x v="6"/>
    <n v="487.6"/>
  </r>
  <r>
    <x v="3"/>
    <x v="7"/>
    <x v="3"/>
    <x v="2"/>
    <x v="27"/>
    <x v="6"/>
    <n v="485.25"/>
  </r>
  <r>
    <x v="5"/>
    <x v="4"/>
    <x v="5"/>
    <x v="0"/>
    <x v="30"/>
    <x v="6"/>
    <n v="499.25"/>
  </r>
  <r>
    <x v="0"/>
    <x v="2"/>
    <x v="3"/>
    <x v="0"/>
    <x v="0"/>
    <x v="0"/>
    <n v="493.4"/>
  </r>
  <r>
    <x v="7"/>
    <x v="7"/>
    <x v="5"/>
    <x v="2"/>
    <x v="0"/>
    <x v="0"/>
    <n v="491.3"/>
  </r>
  <r>
    <x v="2"/>
    <x v="2"/>
    <x v="0"/>
    <x v="0"/>
    <x v="3"/>
    <x v="2"/>
    <n v="499.7"/>
  </r>
  <r>
    <x v="6"/>
    <x v="3"/>
    <x v="5"/>
    <x v="0"/>
    <x v="3"/>
    <x v="2"/>
    <n v="503.45"/>
  </r>
  <r>
    <x v="0"/>
    <x v="3"/>
    <x v="3"/>
    <x v="0"/>
    <x v="1"/>
    <x v="1"/>
    <n v="493.3"/>
  </r>
  <r>
    <x v="1"/>
    <x v="1"/>
    <x v="3"/>
    <x v="2"/>
    <x v="27"/>
    <x v="6"/>
    <n v="491.55"/>
  </r>
  <r>
    <x v="4"/>
    <x v="4"/>
    <x v="5"/>
    <x v="1"/>
    <x v="6"/>
    <x v="0"/>
    <n v="503.6"/>
  </r>
  <r>
    <x v="0"/>
    <x v="2"/>
    <x v="2"/>
    <x v="0"/>
    <x v="12"/>
    <x v="4"/>
    <n v="492.25"/>
  </r>
  <r>
    <x v="5"/>
    <x v="3"/>
    <x v="0"/>
    <x v="1"/>
    <x v="7"/>
    <x v="5"/>
    <n v="501.75"/>
  </r>
  <r>
    <x v="0"/>
    <x v="1"/>
    <x v="1"/>
    <x v="1"/>
    <x v="28"/>
    <x v="3"/>
    <n v="485.8"/>
  </r>
  <r>
    <x v="6"/>
    <x v="6"/>
    <x v="4"/>
    <x v="1"/>
    <x v="12"/>
    <x v="4"/>
    <n v="491.25"/>
  </r>
  <r>
    <x v="6"/>
    <x v="6"/>
    <x v="3"/>
    <x v="0"/>
    <x v="26"/>
    <x v="6"/>
    <n v="490.05"/>
  </r>
  <r>
    <x v="3"/>
    <x v="5"/>
    <x v="4"/>
    <x v="2"/>
    <x v="27"/>
    <x v="6"/>
    <n v="480.05"/>
  </r>
  <r>
    <x v="6"/>
    <x v="2"/>
    <x v="1"/>
    <x v="1"/>
    <x v="30"/>
    <x v="6"/>
    <n v="489.95"/>
  </r>
  <r>
    <x v="5"/>
    <x v="1"/>
    <x v="4"/>
    <x v="2"/>
    <x v="22"/>
    <x v="3"/>
    <n v="492.45"/>
  </r>
  <r>
    <x v="2"/>
    <x v="2"/>
    <x v="1"/>
    <x v="0"/>
    <x v="28"/>
    <x v="3"/>
    <n v="492.95"/>
  </r>
  <r>
    <x v="5"/>
    <x v="2"/>
    <x v="5"/>
    <x v="1"/>
    <x v="4"/>
    <x v="3"/>
    <n v="498.95"/>
  </r>
  <r>
    <x v="6"/>
    <x v="3"/>
    <x v="2"/>
    <x v="2"/>
    <x v="13"/>
    <x v="4"/>
    <n v="496.6"/>
  </r>
  <r>
    <x v="8"/>
    <x v="3"/>
    <x v="3"/>
    <x v="1"/>
    <x v="4"/>
    <x v="3"/>
    <n v="502.5"/>
  </r>
  <r>
    <x v="4"/>
    <x v="4"/>
    <x v="1"/>
    <x v="2"/>
    <x v="29"/>
    <x v="6"/>
    <n v="493.5"/>
  </r>
  <r>
    <x v="8"/>
    <x v="3"/>
    <x v="4"/>
    <x v="2"/>
    <x v="9"/>
    <x v="5"/>
    <n v="499.2"/>
  </r>
  <r>
    <x v="0"/>
    <x v="4"/>
    <x v="3"/>
    <x v="2"/>
    <x v="11"/>
    <x v="5"/>
    <n v="492.3"/>
  </r>
  <r>
    <x v="3"/>
    <x v="5"/>
    <x v="2"/>
    <x v="3"/>
    <x v="5"/>
    <x v="4"/>
    <n v="483.75"/>
  </r>
  <r>
    <x v="5"/>
    <x v="1"/>
    <x v="5"/>
    <x v="2"/>
    <x v="20"/>
    <x v="1"/>
    <n v="496.15"/>
  </r>
  <r>
    <x v="9"/>
    <x v="6"/>
    <x v="3"/>
    <x v="1"/>
    <x v="28"/>
    <x v="3"/>
    <n v="486.95"/>
  </r>
  <r>
    <x v="7"/>
    <x v="7"/>
    <x v="1"/>
    <x v="2"/>
    <x v="22"/>
    <x v="3"/>
    <n v="483.55"/>
  </r>
  <r>
    <x v="9"/>
    <x v="3"/>
    <x v="2"/>
    <x v="2"/>
    <x v="2"/>
    <x v="1"/>
    <n v="491.25"/>
  </r>
  <r>
    <x v="6"/>
    <x v="6"/>
    <x v="4"/>
    <x v="0"/>
    <x v="12"/>
    <x v="4"/>
    <n v="491"/>
  </r>
  <r>
    <x v="7"/>
    <x v="3"/>
    <x v="2"/>
    <x v="0"/>
    <x v="33"/>
    <x v="0"/>
    <n v="494.3"/>
  </r>
  <r>
    <x v="9"/>
    <x v="5"/>
    <x v="2"/>
    <x v="1"/>
    <x v="2"/>
    <x v="1"/>
    <n v="481"/>
  </r>
  <r>
    <x v="4"/>
    <x v="3"/>
    <x v="0"/>
    <x v="2"/>
    <x v="30"/>
    <x v="6"/>
    <n v="501.05"/>
  </r>
  <r>
    <x v="0"/>
    <x v="0"/>
    <x v="2"/>
    <x v="2"/>
    <x v="28"/>
    <x v="3"/>
    <n v="484.35"/>
  </r>
  <r>
    <x v="3"/>
    <x v="2"/>
    <x v="2"/>
    <x v="2"/>
    <x v="25"/>
    <x v="0"/>
    <n v="489.85"/>
  </r>
  <r>
    <x v="5"/>
    <x v="2"/>
    <x v="3"/>
    <x v="1"/>
    <x v="22"/>
    <x v="3"/>
    <n v="496.9"/>
  </r>
  <r>
    <x v="3"/>
    <x v="1"/>
    <x v="4"/>
    <x v="0"/>
    <x v="30"/>
    <x v="6"/>
    <n v="485.45"/>
  </r>
  <r>
    <x v="0"/>
    <x v="6"/>
    <x v="3"/>
    <x v="1"/>
    <x v="26"/>
    <x v="6"/>
    <n v="487.7"/>
  </r>
  <r>
    <x v="0"/>
    <x v="0"/>
    <x v="3"/>
    <x v="1"/>
    <x v="35"/>
    <x v="3"/>
    <n v="486.65"/>
  </r>
  <r>
    <x v="8"/>
    <x v="3"/>
    <x v="1"/>
    <x v="2"/>
    <x v="6"/>
    <x v="0"/>
    <n v="496.95"/>
  </r>
  <r>
    <x v="6"/>
    <x v="6"/>
    <x v="3"/>
    <x v="1"/>
    <x v="10"/>
    <x v="1"/>
    <n v="489.7"/>
  </r>
  <r>
    <x v="7"/>
    <x v="0"/>
    <x v="0"/>
    <x v="1"/>
    <x v="13"/>
    <x v="4"/>
    <n v="489.85"/>
  </r>
  <r>
    <x v="3"/>
    <x v="7"/>
    <x v="0"/>
    <x v="0"/>
    <x v="10"/>
    <x v="1"/>
    <n v="485.75"/>
  </r>
  <r>
    <x v="8"/>
    <x v="3"/>
    <x v="1"/>
    <x v="0"/>
    <x v="28"/>
    <x v="3"/>
    <n v="496.4"/>
  </r>
  <r>
    <x v="0"/>
    <x v="5"/>
    <x v="5"/>
    <x v="0"/>
    <x v="11"/>
    <x v="5"/>
    <n v="487.95"/>
  </r>
  <r>
    <x v="7"/>
    <x v="1"/>
    <x v="4"/>
    <x v="1"/>
    <x v="21"/>
    <x v="4"/>
    <n v="489.4"/>
  </r>
  <r>
    <x v="6"/>
    <x v="6"/>
    <x v="4"/>
    <x v="3"/>
    <x v="31"/>
    <x v="1"/>
    <n v="489.05"/>
  </r>
  <r>
    <x v="5"/>
    <x v="2"/>
    <x v="3"/>
    <x v="0"/>
    <x v="33"/>
    <x v="0"/>
    <n v="495.35"/>
  </r>
  <r>
    <x v="8"/>
    <x v="3"/>
    <x v="3"/>
    <x v="2"/>
    <x v="28"/>
    <x v="3"/>
    <n v="500.75"/>
  </r>
  <r>
    <x v="8"/>
    <x v="3"/>
    <x v="5"/>
    <x v="2"/>
    <x v="15"/>
    <x v="2"/>
    <n v="505.45"/>
  </r>
  <r>
    <x v="9"/>
    <x v="3"/>
    <x v="3"/>
    <x v="1"/>
    <x v="12"/>
    <x v="4"/>
    <n v="495.35"/>
  </r>
  <r>
    <x v="8"/>
    <x v="3"/>
    <x v="4"/>
    <x v="1"/>
    <x v="9"/>
    <x v="5"/>
    <n v="498.85"/>
  </r>
  <r>
    <x v="1"/>
    <x v="7"/>
    <x v="2"/>
    <x v="2"/>
    <x v="6"/>
    <x v="0"/>
    <n v="488.45"/>
  </r>
  <r>
    <x v="4"/>
    <x v="4"/>
    <x v="0"/>
    <x v="2"/>
    <x v="12"/>
    <x v="4"/>
    <n v="500.75"/>
  </r>
  <r>
    <x v="1"/>
    <x v="7"/>
    <x v="2"/>
    <x v="0"/>
    <x v="26"/>
    <x v="6"/>
    <n v="486.5"/>
  </r>
  <r>
    <x v="1"/>
    <x v="3"/>
    <x v="2"/>
    <x v="1"/>
    <x v="30"/>
    <x v="6"/>
    <n v="493.9"/>
  </r>
  <r>
    <x v="6"/>
    <x v="6"/>
    <x v="4"/>
    <x v="1"/>
    <x v="21"/>
    <x v="4"/>
    <n v="490.65"/>
  </r>
  <r>
    <x v="4"/>
    <x v="4"/>
    <x v="2"/>
    <x v="2"/>
    <x v="16"/>
    <x v="6"/>
    <n v="496.75"/>
  </r>
  <r>
    <x v="8"/>
    <x v="3"/>
    <x v="5"/>
    <x v="2"/>
    <x v="1"/>
    <x v="1"/>
    <n v="504.2"/>
  </r>
  <r>
    <x v="1"/>
    <x v="6"/>
    <x v="1"/>
    <x v="3"/>
    <x v="0"/>
    <x v="0"/>
    <n v="486.45"/>
  </r>
  <r>
    <x v="0"/>
    <x v="4"/>
    <x v="3"/>
    <x v="0"/>
    <x v="31"/>
    <x v="1"/>
    <n v="491.75"/>
  </r>
  <r>
    <x v="0"/>
    <x v="7"/>
    <x v="1"/>
    <x v="3"/>
    <x v="1"/>
    <x v="1"/>
    <n v="481.7"/>
  </r>
  <r>
    <x v="7"/>
    <x v="1"/>
    <x v="0"/>
    <x v="0"/>
    <x v="27"/>
    <x v="6"/>
    <n v="492.25"/>
  </r>
  <r>
    <x v="6"/>
    <x v="1"/>
    <x v="3"/>
    <x v="2"/>
    <x v="7"/>
    <x v="5"/>
    <n v="493.65"/>
  </r>
  <r>
    <x v="1"/>
    <x v="6"/>
    <x v="2"/>
    <x v="2"/>
    <x v="32"/>
    <x v="2"/>
    <n v="489.8"/>
  </r>
  <r>
    <x v="8"/>
    <x v="3"/>
    <x v="0"/>
    <x v="2"/>
    <x v="2"/>
    <x v="1"/>
    <n v="501.05"/>
  </r>
  <r>
    <x v="8"/>
    <x v="3"/>
    <x v="3"/>
    <x v="2"/>
    <x v="14"/>
    <x v="3"/>
    <n v="502.85"/>
  </r>
  <r>
    <x v="5"/>
    <x v="2"/>
    <x v="5"/>
    <x v="1"/>
    <x v="11"/>
    <x v="5"/>
    <n v="499.1"/>
  </r>
  <r>
    <x v="1"/>
    <x v="7"/>
    <x v="5"/>
    <x v="2"/>
    <x v="9"/>
    <x v="5"/>
    <n v="492.75"/>
  </r>
  <r>
    <x v="4"/>
    <x v="4"/>
    <x v="5"/>
    <x v="1"/>
    <x v="7"/>
    <x v="5"/>
    <n v="502.2"/>
  </r>
  <r>
    <x v="8"/>
    <x v="3"/>
    <x v="5"/>
    <x v="2"/>
    <x v="3"/>
    <x v="2"/>
    <n v="506.35"/>
  </r>
  <r>
    <x v="2"/>
    <x v="3"/>
    <x v="2"/>
    <x v="2"/>
    <x v="2"/>
    <x v="1"/>
    <n v="496.95"/>
  </r>
  <r>
    <x v="8"/>
    <x v="3"/>
    <x v="1"/>
    <x v="0"/>
    <x v="6"/>
    <x v="0"/>
    <n v="497.2"/>
  </r>
  <r>
    <x v="1"/>
    <x v="3"/>
    <x v="3"/>
    <x v="0"/>
    <x v="16"/>
    <x v="6"/>
    <n v="496.75"/>
  </r>
  <r>
    <x v="0"/>
    <x v="1"/>
    <x v="2"/>
    <x v="1"/>
    <x v="31"/>
    <x v="1"/>
    <n v="488.1"/>
  </r>
  <r>
    <x v="8"/>
    <x v="3"/>
    <x v="5"/>
    <x v="0"/>
    <x v="34"/>
    <x v="2"/>
    <n v="507.45"/>
  </r>
  <r>
    <x v="2"/>
    <x v="2"/>
    <x v="1"/>
    <x v="2"/>
    <x v="21"/>
    <x v="4"/>
    <n v="492.65"/>
  </r>
  <r>
    <x v="4"/>
    <x v="4"/>
    <x v="0"/>
    <x v="3"/>
    <x v="11"/>
    <x v="5"/>
    <n v="499.85"/>
  </r>
  <r>
    <x v="4"/>
    <x v="3"/>
    <x v="0"/>
    <x v="2"/>
    <x v="20"/>
    <x v="1"/>
    <n v="500.5"/>
  </r>
  <r>
    <x v="6"/>
    <x v="6"/>
    <x v="0"/>
    <x v="3"/>
    <x v="9"/>
    <x v="5"/>
    <n v="492.4"/>
  </r>
  <r>
    <x v="3"/>
    <x v="6"/>
    <x v="5"/>
    <x v="2"/>
    <x v="22"/>
    <x v="3"/>
    <n v="490.15"/>
  </r>
  <r>
    <x v="3"/>
    <x v="7"/>
    <x v="0"/>
    <x v="1"/>
    <x v="19"/>
    <x v="2"/>
    <n v="490.3"/>
  </r>
  <r>
    <x v="8"/>
    <x v="3"/>
    <x v="4"/>
    <x v="0"/>
    <x v="2"/>
    <x v="1"/>
    <n v="498.25"/>
  </r>
  <r>
    <x v="8"/>
    <x v="3"/>
    <x v="3"/>
    <x v="1"/>
    <x v="2"/>
    <x v="1"/>
    <n v="500"/>
  </r>
  <r>
    <x v="6"/>
    <x v="4"/>
    <x v="3"/>
    <x v="0"/>
    <x v="10"/>
    <x v="1"/>
    <n v="494.55"/>
  </r>
  <r>
    <x v="8"/>
    <x v="3"/>
    <x v="5"/>
    <x v="0"/>
    <x v="5"/>
    <x v="4"/>
    <n v="506.05"/>
  </r>
  <r>
    <x v="5"/>
    <x v="1"/>
    <x v="4"/>
    <x v="1"/>
    <x v="7"/>
    <x v="5"/>
    <n v="491.45"/>
  </r>
  <r>
    <x v="5"/>
    <x v="1"/>
    <x v="2"/>
    <x v="2"/>
    <x v="0"/>
    <x v="0"/>
    <n v="49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DCE5AA-496B-49A3-854F-24CAB25FCA4D}"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river's Age">
  <location ref="A3:B14" firstHeaderRow="1" firstDataRow="1" firstDataCol="1"/>
  <pivotFields count="7">
    <pivotField axis="axisRow" showAll="0" sortType="ascending">
      <items count="59">
        <item m="1" x="53"/>
        <item m="1" x="24"/>
        <item m="1" x="22"/>
        <item m="1" x="40"/>
        <item m="1" x="54"/>
        <item m="1" x="46"/>
        <item m="1" x="37"/>
        <item m="1" x="14"/>
        <item m="1" x="38"/>
        <item m="1" x="48"/>
        <item m="1" x="18"/>
        <item m="1" x="29"/>
        <item m="1" x="55"/>
        <item m="1" x="41"/>
        <item m="1" x="12"/>
        <item m="1" x="34"/>
        <item m="1" x="45"/>
        <item m="1" x="39"/>
        <item m="1" x="16"/>
        <item m="1" x="43"/>
        <item m="1" x="15"/>
        <item m="1" x="23"/>
        <item m="1" x="17"/>
        <item m="1" x="19"/>
        <item m="1" x="30"/>
        <item m="1" x="42"/>
        <item m="1" x="31"/>
        <item m="1" x="33"/>
        <item m="1" x="11"/>
        <item m="1" x="26"/>
        <item m="1" x="49"/>
        <item m="1" x="56"/>
        <item m="1" x="28"/>
        <item m="1" x="47"/>
        <item m="1" x="44"/>
        <item m="1" x="20"/>
        <item m="1" x="36"/>
        <item m="1" x="27"/>
        <item m="1" x="10"/>
        <item m="1" x="21"/>
        <item m="1" x="52"/>
        <item m="1" x="32"/>
        <item m="1" x="13"/>
        <item m="1" x="25"/>
        <item m="1" x="51"/>
        <item m="1" x="57"/>
        <item m="1" x="35"/>
        <item m="1" x="50"/>
        <item x="8"/>
        <item x="4"/>
        <item x="2"/>
        <item x="5"/>
        <item x="6"/>
        <item x="1"/>
        <item x="7"/>
        <item x="0"/>
        <item x="3"/>
        <item x="9"/>
        <item t="default"/>
      </items>
    </pivotField>
    <pivotField showAll="0"/>
    <pivotField showAll="0"/>
    <pivotField showAll="0"/>
    <pivotField showAll="0">
      <items count="37">
        <item x="19"/>
        <item x="3"/>
        <item x="15"/>
        <item x="32"/>
        <item x="34"/>
        <item x="17"/>
        <item x="13"/>
        <item x="12"/>
        <item x="5"/>
        <item x="21"/>
        <item x="6"/>
        <item x="25"/>
        <item x="0"/>
        <item x="23"/>
        <item x="33"/>
        <item x="4"/>
        <item x="22"/>
        <item x="14"/>
        <item x="35"/>
        <item x="28"/>
        <item x="18"/>
        <item x="7"/>
        <item x="9"/>
        <item x="11"/>
        <item x="24"/>
        <item x="27"/>
        <item x="29"/>
        <item x="16"/>
        <item x="26"/>
        <item x="30"/>
        <item x="2"/>
        <item x="31"/>
        <item x="8"/>
        <item x="10"/>
        <item x="20"/>
        <item x="1"/>
        <item t="default"/>
      </items>
    </pivotField>
    <pivotField showAll="0"/>
    <pivotField dataField="1" showAll="0"/>
  </pivotFields>
  <rowFields count="1">
    <field x="0"/>
  </rowFields>
  <rowItems count="11">
    <i>
      <x v="48"/>
    </i>
    <i>
      <x v="49"/>
    </i>
    <i>
      <x v="50"/>
    </i>
    <i>
      <x v="51"/>
    </i>
    <i>
      <x v="52"/>
    </i>
    <i>
      <x v="53"/>
    </i>
    <i>
      <x v="54"/>
    </i>
    <i>
      <x v="55"/>
    </i>
    <i>
      <x v="56"/>
    </i>
    <i>
      <x v="57"/>
    </i>
    <i t="grand">
      <x/>
    </i>
  </rowItems>
  <colItems count="1">
    <i/>
  </colItems>
  <dataFields count="1">
    <dataField name="Average of Insurance Premium ($)" fld="6" subtotal="average" baseField="0" baseItem="0" numFmtId="164"/>
  </dataFields>
  <formats count="1">
    <format dxfId="19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EDBDDE-A0AC-4721-A578-458900E71372}"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river's Experience">
  <location ref="A3:B12" firstHeaderRow="1" firstDataRow="1" firstDataCol="1"/>
  <pivotFields count="7">
    <pivotField showAll="0"/>
    <pivotField axis="axisRow" showAll="0" sortType="descending">
      <items count="50">
        <item m="1" x="11"/>
        <item m="1" x="21"/>
        <item m="1" x="17"/>
        <item m="1" x="39"/>
        <item m="1" x="31"/>
        <item m="1" x="18"/>
        <item m="1" x="32"/>
        <item m="1" x="12"/>
        <item m="1" x="24"/>
        <item m="1" x="19"/>
        <item m="1" x="16"/>
        <item m="1" x="10"/>
        <item m="1" x="22"/>
        <item m="1" x="13"/>
        <item m="1" x="26"/>
        <item m="1" x="29"/>
        <item m="1" x="25"/>
        <item m="1" x="35"/>
        <item m="1" x="15"/>
        <item m="1" x="9"/>
        <item m="1" x="33"/>
        <item m="1" x="20"/>
        <item m="1" x="44"/>
        <item m="1" x="27"/>
        <item m="1" x="36"/>
        <item m="1" x="38"/>
        <item m="1" x="45"/>
        <item m="1" x="28"/>
        <item m="1" x="41"/>
        <item m="1" x="23"/>
        <item m="1" x="30"/>
        <item m="1" x="42"/>
        <item m="1" x="8"/>
        <item m="1" x="43"/>
        <item m="1" x="34"/>
        <item m="1" x="46"/>
        <item m="1" x="37"/>
        <item m="1" x="14"/>
        <item m="1" x="47"/>
        <item m="1" x="40"/>
        <item m="1" x="48"/>
        <item x="3"/>
        <item x="2"/>
        <item x="1"/>
        <item x="6"/>
        <item x="7"/>
        <item x="0"/>
        <item x="5"/>
        <item x="4"/>
        <item t="default"/>
      </items>
      <autoSortScope>
        <pivotArea dataOnly="0" outline="0" fieldPosition="0">
          <references count="1">
            <reference field="4294967294" count="1" selected="0">
              <x v="0"/>
            </reference>
          </references>
        </pivotArea>
      </autoSortScope>
    </pivotField>
    <pivotField showAll="0"/>
    <pivotField showAll="0">
      <items count="20">
        <item m="1" x="9"/>
        <item m="1" x="11"/>
        <item m="1" x="8"/>
        <item m="1" x="10"/>
        <item m="1" x="6"/>
        <item m="1" x="16"/>
        <item m="1" x="4"/>
        <item m="1" x="18"/>
        <item m="1" x="7"/>
        <item m="1" x="12"/>
        <item m="1" x="5"/>
        <item m="1" x="15"/>
        <item m="1" x="14"/>
        <item m="1" x="13"/>
        <item m="1" x="17"/>
        <item x="2"/>
        <item x="0"/>
        <item x="1"/>
        <item x="3"/>
        <item t="default"/>
      </items>
    </pivotField>
    <pivotField showAll="0">
      <items count="37">
        <item x="19"/>
        <item x="3"/>
        <item x="15"/>
        <item x="32"/>
        <item x="34"/>
        <item x="17"/>
        <item x="13"/>
        <item x="12"/>
        <item x="5"/>
        <item x="21"/>
        <item x="6"/>
        <item x="25"/>
        <item x="0"/>
        <item x="23"/>
        <item x="33"/>
        <item x="4"/>
        <item x="22"/>
        <item x="14"/>
        <item x="35"/>
        <item x="28"/>
        <item x="18"/>
        <item x="7"/>
        <item x="9"/>
        <item x="11"/>
        <item x="24"/>
        <item x="27"/>
        <item x="29"/>
        <item x="16"/>
        <item x="26"/>
        <item x="30"/>
        <item x="2"/>
        <item x="31"/>
        <item x="8"/>
        <item x="10"/>
        <item x="20"/>
        <item x="1"/>
        <item t="default"/>
      </items>
    </pivotField>
    <pivotField showAll="0"/>
    <pivotField dataField="1" showAll="0"/>
  </pivotFields>
  <rowFields count="1">
    <field x="1"/>
  </rowFields>
  <rowItems count="9">
    <i>
      <x v="41"/>
    </i>
    <i>
      <x v="48"/>
    </i>
    <i>
      <x v="42"/>
    </i>
    <i>
      <x v="43"/>
    </i>
    <i>
      <x v="44"/>
    </i>
    <i>
      <x v="45"/>
    </i>
    <i>
      <x v="46"/>
    </i>
    <i>
      <x v="47"/>
    </i>
    <i t="grand">
      <x/>
    </i>
  </rowItems>
  <colItems count="1">
    <i/>
  </colItems>
  <dataFields count="1">
    <dataField name="Average of Insurance Premium ($)" fld="6" subtotal="average" baseField="1" baseItem="0" numFmtId="164"/>
  </dataFields>
  <formats count="1">
    <format dxfId="18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3DF063-43E7-4675-B948-4AEB087B3D24}"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evious Accident">
  <location ref="A3:B10" firstHeaderRow="1" firstDataRow="1" firstDataCol="1"/>
  <pivotFields count="7">
    <pivotField showAll="0"/>
    <pivotField showAll="0"/>
    <pivotField axis="axisRow" showAll="0">
      <items count="7">
        <item x="1"/>
        <item x="4"/>
        <item x="2"/>
        <item x="3"/>
        <item x="0"/>
        <item x="5"/>
        <item t="default"/>
      </items>
    </pivotField>
    <pivotField showAll="0"/>
    <pivotField showAll="0">
      <items count="37">
        <item x="19"/>
        <item x="3"/>
        <item x="15"/>
        <item x="32"/>
        <item x="34"/>
        <item x="17"/>
        <item x="13"/>
        <item x="12"/>
        <item x="5"/>
        <item x="21"/>
        <item x="6"/>
        <item x="25"/>
        <item x="0"/>
        <item x="23"/>
        <item x="33"/>
        <item x="4"/>
        <item x="22"/>
        <item x="14"/>
        <item x="35"/>
        <item x="28"/>
        <item x="18"/>
        <item x="7"/>
        <item x="9"/>
        <item x="11"/>
        <item x="24"/>
        <item x="27"/>
        <item x="29"/>
        <item x="16"/>
        <item x="26"/>
        <item x="30"/>
        <item x="2"/>
        <item x="31"/>
        <item x="8"/>
        <item x="10"/>
        <item x="20"/>
        <item x="1"/>
        <item t="default"/>
      </items>
    </pivotField>
    <pivotField showAll="0"/>
    <pivotField dataField="1" showAll="0"/>
  </pivotFields>
  <rowFields count="1">
    <field x="2"/>
  </rowFields>
  <rowItems count="7">
    <i>
      <x/>
    </i>
    <i>
      <x v="1"/>
    </i>
    <i>
      <x v="2"/>
    </i>
    <i>
      <x v="3"/>
    </i>
    <i>
      <x v="4"/>
    </i>
    <i>
      <x v="5"/>
    </i>
    <i t="grand">
      <x/>
    </i>
  </rowItems>
  <colItems count="1">
    <i/>
  </colItems>
  <dataFields count="1">
    <dataField name="Average of Insurance Premium ($)" fld="6" subtotal="average" baseField="2" baseItem="0" numFmtId="164"/>
  </dataFields>
  <formats count="1">
    <format dxfId="188">
      <pivotArea outline="0" collapsedLevelsAreSubtotals="1" fieldPosition="0"/>
    </format>
  </formats>
  <chartFormats count="2">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B06D1D-DAEC-485E-82F5-DA8506F565D7}"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Annual Milleage (x1000 km)">
  <location ref="A3:B8" firstHeaderRow="1" firstDataRow="1" firstDataCol="1"/>
  <pivotFields count="7">
    <pivotField showAll="0"/>
    <pivotField showAll="0"/>
    <pivotField showAll="0"/>
    <pivotField axis="axisRow" showAll="0">
      <items count="20">
        <item m="1" x="9"/>
        <item m="1" x="11"/>
        <item m="1" x="8"/>
        <item m="1" x="10"/>
        <item m="1" x="6"/>
        <item m="1" x="16"/>
        <item m="1" x="4"/>
        <item m="1" x="18"/>
        <item m="1" x="7"/>
        <item m="1" x="12"/>
        <item m="1" x="5"/>
        <item m="1" x="15"/>
        <item m="1" x="14"/>
        <item m="1" x="13"/>
        <item m="1" x="17"/>
        <item x="0"/>
        <item x="1"/>
        <item x="2"/>
        <item x="3"/>
        <item t="default"/>
      </items>
    </pivotField>
    <pivotField showAll="0">
      <items count="37">
        <item x="19"/>
        <item x="3"/>
        <item x="15"/>
        <item x="32"/>
        <item x="34"/>
        <item x="17"/>
        <item x="13"/>
        <item x="12"/>
        <item x="5"/>
        <item x="21"/>
        <item x="6"/>
        <item x="25"/>
        <item x="0"/>
        <item x="23"/>
        <item x="33"/>
        <item x="4"/>
        <item x="22"/>
        <item x="14"/>
        <item x="35"/>
        <item x="28"/>
        <item x="18"/>
        <item x="7"/>
        <item x="9"/>
        <item x="11"/>
        <item x="24"/>
        <item x="27"/>
        <item x="29"/>
        <item x="16"/>
        <item x="26"/>
        <item x="30"/>
        <item x="2"/>
        <item x="31"/>
        <item x="8"/>
        <item x="10"/>
        <item x="20"/>
        <item x="1"/>
        <item t="default"/>
      </items>
    </pivotField>
    <pivotField showAll="0"/>
    <pivotField dataField="1" showAll="0"/>
  </pivotFields>
  <rowFields count="1">
    <field x="3"/>
  </rowFields>
  <rowItems count="5">
    <i>
      <x v="15"/>
    </i>
    <i>
      <x v="16"/>
    </i>
    <i>
      <x v="17"/>
    </i>
    <i>
      <x v="18"/>
    </i>
    <i t="grand">
      <x/>
    </i>
  </rowItems>
  <colItems count="1">
    <i/>
  </colItems>
  <dataFields count="1">
    <dataField name="Average of Insurance Premium ($)" fld="6" subtotal="average" baseField="3" baseItem="0" numFmtId="164"/>
  </dataFields>
  <formats count="1">
    <format dxfId="187">
      <pivotArea outline="0" collapsedLevelsAreSubtotals="1" fieldPosition="0"/>
    </format>
  </formats>
  <chartFormats count="40">
    <chartFormat chart="6" format="0" series="1">
      <pivotArea type="data" outline="0" fieldPosition="0">
        <references count="1">
          <reference field="4294967294" count="1" selected="0">
            <x v="0"/>
          </reference>
        </references>
      </pivotArea>
    </chartFormat>
    <chartFormat chart="11" format="17" series="1">
      <pivotArea type="data" outline="0" fieldPosition="0">
        <references count="1">
          <reference field="4294967294" count="1" selected="0">
            <x v="0"/>
          </reference>
        </references>
      </pivotArea>
    </chartFormat>
    <chartFormat chart="11" format="18">
      <pivotArea type="data" outline="0" fieldPosition="0">
        <references count="2">
          <reference field="4294967294" count="1" selected="0">
            <x v="0"/>
          </reference>
          <reference field="3" count="1" selected="0">
            <x v="0"/>
          </reference>
        </references>
      </pivotArea>
    </chartFormat>
    <chartFormat chart="11" format="19">
      <pivotArea type="data" outline="0" fieldPosition="0">
        <references count="2">
          <reference field="4294967294" count="1" selected="0">
            <x v="0"/>
          </reference>
          <reference field="3" count="1" selected="0">
            <x v="1"/>
          </reference>
        </references>
      </pivotArea>
    </chartFormat>
    <chartFormat chart="11" format="20">
      <pivotArea type="data" outline="0" fieldPosition="0">
        <references count="2">
          <reference field="4294967294" count="1" selected="0">
            <x v="0"/>
          </reference>
          <reference field="3" count="1" selected="0">
            <x v="2"/>
          </reference>
        </references>
      </pivotArea>
    </chartFormat>
    <chartFormat chart="11" format="21">
      <pivotArea type="data" outline="0" fieldPosition="0">
        <references count="2">
          <reference field="4294967294" count="1" selected="0">
            <x v="0"/>
          </reference>
          <reference field="3" count="1" selected="0">
            <x v="3"/>
          </reference>
        </references>
      </pivotArea>
    </chartFormat>
    <chartFormat chart="11" format="22">
      <pivotArea type="data" outline="0" fieldPosition="0">
        <references count="2">
          <reference field="4294967294" count="1" selected="0">
            <x v="0"/>
          </reference>
          <reference field="3" count="1" selected="0">
            <x v="4"/>
          </reference>
        </references>
      </pivotArea>
    </chartFormat>
    <chartFormat chart="11" format="23">
      <pivotArea type="data" outline="0" fieldPosition="0">
        <references count="2">
          <reference field="4294967294" count="1" selected="0">
            <x v="0"/>
          </reference>
          <reference field="3" count="1" selected="0">
            <x v="5"/>
          </reference>
        </references>
      </pivotArea>
    </chartFormat>
    <chartFormat chart="11" format="24">
      <pivotArea type="data" outline="0" fieldPosition="0">
        <references count="2">
          <reference field="4294967294" count="1" selected="0">
            <x v="0"/>
          </reference>
          <reference field="3" count="1" selected="0">
            <x v="6"/>
          </reference>
        </references>
      </pivotArea>
    </chartFormat>
    <chartFormat chart="11" format="25">
      <pivotArea type="data" outline="0" fieldPosition="0">
        <references count="2">
          <reference field="4294967294" count="1" selected="0">
            <x v="0"/>
          </reference>
          <reference field="3" count="1" selected="0">
            <x v="7"/>
          </reference>
        </references>
      </pivotArea>
    </chartFormat>
    <chartFormat chart="11" format="26">
      <pivotArea type="data" outline="0" fieldPosition="0">
        <references count="2">
          <reference field="4294967294" count="1" selected="0">
            <x v="0"/>
          </reference>
          <reference field="3" count="1" selected="0">
            <x v="8"/>
          </reference>
        </references>
      </pivotArea>
    </chartFormat>
    <chartFormat chart="11" format="27">
      <pivotArea type="data" outline="0" fieldPosition="0">
        <references count="2">
          <reference field="4294967294" count="1" selected="0">
            <x v="0"/>
          </reference>
          <reference field="3" count="1" selected="0">
            <x v="9"/>
          </reference>
        </references>
      </pivotArea>
    </chartFormat>
    <chartFormat chart="11" format="28">
      <pivotArea type="data" outline="0" fieldPosition="0">
        <references count="2">
          <reference field="4294967294" count="1" selected="0">
            <x v="0"/>
          </reference>
          <reference field="3" count="1" selected="0">
            <x v="10"/>
          </reference>
        </references>
      </pivotArea>
    </chartFormat>
    <chartFormat chart="11" format="29">
      <pivotArea type="data" outline="0" fieldPosition="0">
        <references count="2">
          <reference field="4294967294" count="1" selected="0">
            <x v="0"/>
          </reference>
          <reference field="3" count="1" selected="0">
            <x v="11"/>
          </reference>
        </references>
      </pivotArea>
    </chartFormat>
    <chartFormat chart="11" format="30">
      <pivotArea type="data" outline="0" fieldPosition="0">
        <references count="2">
          <reference field="4294967294" count="1" selected="0">
            <x v="0"/>
          </reference>
          <reference field="3" count="1" selected="0">
            <x v="12"/>
          </reference>
        </references>
      </pivotArea>
    </chartFormat>
    <chartFormat chart="11" format="31">
      <pivotArea type="data" outline="0" fieldPosition="0">
        <references count="2">
          <reference field="4294967294" count="1" selected="0">
            <x v="0"/>
          </reference>
          <reference field="3" count="1" selected="0">
            <x v="13"/>
          </reference>
        </references>
      </pivotArea>
    </chartFormat>
    <chartFormat chart="11" format="32">
      <pivotArea type="data" outline="0" fieldPosition="0">
        <references count="2">
          <reference field="4294967294" count="1" selected="0">
            <x v="0"/>
          </reference>
          <reference field="3" count="1" selected="0">
            <x v="14"/>
          </reference>
        </references>
      </pivotArea>
    </chartFormat>
    <chartFormat chart="6" format="1">
      <pivotArea type="data" outline="0" fieldPosition="0">
        <references count="2">
          <reference field="4294967294" count="1" selected="0">
            <x v="0"/>
          </reference>
          <reference field="3" count="1" selected="0">
            <x v="0"/>
          </reference>
        </references>
      </pivotArea>
    </chartFormat>
    <chartFormat chart="6" format="2">
      <pivotArea type="data" outline="0" fieldPosition="0">
        <references count="2">
          <reference field="4294967294" count="1" selected="0">
            <x v="0"/>
          </reference>
          <reference field="3" count="1" selected="0">
            <x v="1"/>
          </reference>
        </references>
      </pivotArea>
    </chartFormat>
    <chartFormat chart="6" format="3">
      <pivotArea type="data" outline="0" fieldPosition="0">
        <references count="2">
          <reference field="4294967294" count="1" selected="0">
            <x v="0"/>
          </reference>
          <reference field="3" count="1" selected="0">
            <x v="2"/>
          </reference>
        </references>
      </pivotArea>
    </chartFormat>
    <chartFormat chart="6" format="4">
      <pivotArea type="data" outline="0" fieldPosition="0">
        <references count="2">
          <reference field="4294967294" count="1" selected="0">
            <x v="0"/>
          </reference>
          <reference field="3" count="1" selected="0">
            <x v="4"/>
          </reference>
        </references>
      </pivotArea>
    </chartFormat>
    <chartFormat chart="6" format="5">
      <pivotArea type="data" outline="0" fieldPosition="0">
        <references count="2">
          <reference field="4294967294" count="1" selected="0">
            <x v="0"/>
          </reference>
          <reference field="3" count="1" selected="0">
            <x v="5"/>
          </reference>
        </references>
      </pivotArea>
    </chartFormat>
    <chartFormat chart="6" format="6">
      <pivotArea type="data" outline="0" fieldPosition="0">
        <references count="2">
          <reference field="4294967294" count="1" selected="0">
            <x v="0"/>
          </reference>
          <reference field="3" count="1" selected="0">
            <x v="6"/>
          </reference>
        </references>
      </pivotArea>
    </chartFormat>
    <chartFormat chart="6" format="7">
      <pivotArea type="data" outline="0" fieldPosition="0">
        <references count="2">
          <reference field="4294967294" count="1" selected="0">
            <x v="0"/>
          </reference>
          <reference field="3" count="1" selected="0">
            <x v="7"/>
          </reference>
        </references>
      </pivotArea>
    </chartFormat>
    <chartFormat chart="6" format="8">
      <pivotArea type="data" outline="0" fieldPosition="0">
        <references count="2">
          <reference field="4294967294" count="1" selected="0">
            <x v="0"/>
          </reference>
          <reference field="3" count="1" selected="0">
            <x v="8"/>
          </reference>
        </references>
      </pivotArea>
    </chartFormat>
    <chartFormat chart="6" format="9">
      <pivotArea type="data" outline="0" fieldPosition="0">
        <references count="2">
          <reference field="4294967294" count="1" selected="0">
            <x v="0"/>
          </reference>
          <reference field="3" count="1" selected="0">
            <x v="10"/>
          </reference>
        </references>
      </pivotArea>
    </chartFormat>
    <chartFormat chart="6" format="10">
      <pivotArea type="data" outline="0" fieldPosition="0">
        <references count="2">
          <reference field="4294967294" count="1" selected="0">
            <x v="0"/>
          </reference>
          <reference field="3" count="1" selected="0">
            <x v="11"/>
          </reference>
        </references>
      </pivotArea>
    </chartFormat>
    <chartFormat chart="6" format="11">
      <pivotArea type="data" outline="0" fieldPosition="0">
        <references count="2">
          <reference field="4294967294" count="1" selected="0">
            <x v="0"/>
          </reference>
          <reference field="3" count="1" selected="0">
            <x v="13"/>
          </reference>
        </references>
      </pivotArea>
    </chartFormat>
    <chartFormat chart="6" format="12">
      <pivotArea type="data" outline="0" fieldPosition="0">
        <references count="2">
          <reference field="4294967294" count="1" selected="0">
            <x v="0"/>
          </reference>
          <reference field="3" count="1" selected="0">
            <x v="14"/>
          </reference>
        </references>
      </pivotArea>
    </chartFormat>
    <chartFormat chart="6" format="13">
      <pivotArea type="data" outline="0" fieldPosition="0">
        <references count="2">
          <reference field="4294967294" count="1" selected="0">
            <x v="0"/>
          </reference>
          <reference field="3" count="1" selected="0">
            <x v="3"/>
          </reference>
        </references>
      </pivotArea>
    </chartFormat>
    <chartFormat chart="6" format="14">
      <pivotArea type="data" outline="0" fieldPosition="0">
        <references count="2">
          <reference field="4294967294" count="1" selected="0">
            <x v="0"/>
          </reference>
          <reference field="3" count="1" selected="0">
            <x v="9"/>
          </reference>
        </references>
      </pivotArea>
    </chartFormat>
    <chartFormat chart="6" format="15">
      <pivotArea type="data" outline="0" fieldPosition="0">
        <references count="2">
          <reference field="4294967294" count="1" selected="0">
            <x v="0"/>
          </reference>
          <reference field="3" count="1" selected="0">
            <x v="12"/>
          </reference>
        </references>
      </pivotArea>
    </chartFormat>
    <chartFormat chart="11" format="33">
      <pivotArea type="data" outline="0" fieldPosition="0">
        <references count="2">
          <reference field="4294967294" count="1" selected="0">
            <x v="0"/>
          </reference>
          <reference field="3" count="1" selected="0">
            <x v="15"/>
          </reference>
        </references>
      </pivotArea>
    </chartFormat>
    <chartFormat chart="11" format="34">
      <pivotArea type="data" outline="0" fieldPosition="0">
        <references count="2">
          <reference field="4294967294" count="1" selected="0">
            <x v="0"/>
          </reference>
          <reference field="3" count="1" selected="0">
            <x v="16"/>
          </reference>
        </references>
      </pivotArea>
    </chartFormat>
    <chartFormat chart="11" format="35">
      <pivotArea type="data" outline="0" fieldPosition="0">
        <references count="2">
          <reference field="4294967294" count="1" selected="0">
            <x v="0"/>
          </reference>
          <reference field="3" count="1" selected="0">
            <x v="17"/>
          </reference>
        </references>
      </pivotArea>
    </chartFormat>
    <chartFormat chart="11" format="36">
      <pivotArea type="data" outline="0" fieldPosition="0">
        <references count="2">
          <reference field="4294967294" count="1" selected="0">
            <x v="0"/>
          </reference>
          <reference field="3" count="1" selected="0">
            <x v="18"/>
          </reference>
        </references>
      </pivotArea>
    </chartFormat>
    <chartFormat chart="6" format="20">
      <pivotArea type="data" outline="0" fieldPosition="0">
        <references count="2">
          <reference field="4294967294" count="1" selected="0">
            <x v="0"/>
          </reference>
          <reference field="3" count="1" selected="0">
            <x v="15"/>
          </reference>
        </references>
      </pivotArea>
    </chartFormat>
    <chartFormat chart="6" format="21">
      <pivotArea type="data" outline="0" fieldPosition="0">
        <references count="2">
          <reference field="4294967294" count="1" selected="0">
            <x v="0"/>
          </reference>
          <reference field="3" count="1" selected="0">
            <x v="16"/>
          </reference>
        </references>
      </pivotArea>
    </chartFormat>
    <chartFormat chart="6" format="22">
      <pivotArea type="data" outline="0" fieldPosition="0">
        <references count="2">
          <reference field="4294967294" count="1" selected="0">
            <x v="0"/>
          </reference>
          <reference field="3" count="1" selected="0">
            <x v="17"/>
          </reference>
        </references>
      </pivotArea>
    </chartFormat>
    <chartFormat chart="6" format="23">
      <pivotArea type="data" outline="0" fieldPosition="0">
        <references count="2">
          <reference field="4294967294" count="1" selected="0">
            <x v="0"/>
          </reference>
          <reference field="3"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022785-DB0E-41E5-A2D5-FE29FC486BE8}"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7">
    <pivotField showAll="0"/>
    <pivotField showAll="0"/>
    <pivotField showAll="0"/>
    <pivotField showAll="0"/>
    <pivotField showAll="0">
      <items count="37">
        <item x="19"/>
        <item x="3"/>
        <item x="15"/>
        <item x="32"/>
        <item x="34"/>
        <item x="17"/>
        <item x="13"/>
        <item x="12"/>
        <item x="5"/>
        <item x="21"/>
        <item x="6"/>
        <item x="25"/>
        <item x="0"/>
        <item x="23"/>
        <item x="33"/>
        <item x="4"/>
        <item x="22"/>
        <item x="14"/>
        <item x="35"/>
        <item x="28"/>
        <item x="18"/>
        <item x="7"/>
        <item x="9"/>
        <item x="11"/>
        <item x="24"/>
        <item x="27"/>
        <item x="29"/>
        <item x="16"/>
        <item x="26"/>
        <item x="30"/>
        <item x="2"/>
        <item x="31"/>
        <item x="8"/>
        <item x="10"/>
        <item x="20"/>
        <item x="1"/>
        <item t="default"/>
      </items>
    </pivotField>
    <pivotField axis="axisRow" showAll="0" sortType="descending">
      <items count="44">
        <item m="1" x="8"/>
        <item m="1" x="27"/>
        <item m="1" x="17"/>
        <item m="1" x="15"/>
        <item m="1" x="38"/>
        <item m="1" x="9"/>
        <item m="1" x="37"/>
        <item m="1" x="33"/>
        <item m="1" x="23"/>
        <item m="1" x="36"/>
        <item m="1" x="34"/>
        <item m="1" x="31"/>
        <item m="1" x="18"/>
        <item m="1" x="16"/>
        <item m="1" x="14"/>
        <item m="1" x="25"/>
        <item m="1" x="35"/>
        <item m="1" x="42"/>
        <item m="1" x="21"/>
        <item m="1" x="29"/>
        <item m="1" x="11"/>
        <item m="1" x="40"/>
        <item m="1" x="30"/>
        <item m="1" x="7"/>
        <item m="1" x="32"/>
        <item m="1" x="13"/>
        <item m="1" x="28"/>
        <item m="1" x="12"/>
        <item m="1" x="19"/>
        <item m="1" x="20"/>
        <item m="1" x="24"/>
        <item m="1" x="41"/>
        <item m="1" x="39"/>
        <item m="1" x="22"/>
        <item m="1" x="10"/>
        <item m="1" x="26"/>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howAll="0"/>
  </pivotFields>
  <rowFields count="1">
    <field x="5"/>
  </rowFields>
  <rowItems count="8">
    <i>
      <x v="38"/>
    </i>
    <i>
      <x v="40"/>
    </i>
    <i>
      <x v="39"/>
    </i>
    <i>
      <x v="36"/>
    </i>
    <i>
      <x v="41"/>
    </i>
    <i>
      <x v="42"/>
    </i>
    <i>
      <x v="37"/>
    </i>
    <i t="grand">
      <x/>
    </i>
  </rowItems>
  <colItems count="1">
    <i/>
  </colItems>
  <dataFields count="1">
    <dataField name="Average of Insurance Premium ($)" fld="6" subtotal="average" baseField="4" baseItem="0" numFmtId="164"/>
  </dataFields>
  <formats count="1">
    <format dxfId="18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F57412-CC15-4349-95F7-E71E4F733205}"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7">
    <pivotField showAll="0"/>
    <pivotField showAll="0"/>
    <pivotField showAll="0"/>
    <pivotField showAll="0"/>
    <pivotField showAll="0">
      <items count="37">
        <item x="19"/>
        <item x="3"/>
        <item x="15"/>
        <item x="32"/>
        <item x="34"/>
        <item x="17"/>
        <item x="13"/>
        <item x="12"/>
        <item x="5"/>
        <item x="21"/>
        <item x="6"/>
        <item x="25"/>
        <item x="0"/>
        <item x="23"/>
        <item x="33"/>
        <item x="4"/>
        <item x="22"/>
        <item x="14"/>
        <item x="35"/>
        <item x="28"/>
        <item x="18"/>
        <item x="7"/>
        <item x="9"/>
        <item x="11"/>
        <item x="24"/>
        <item x="27"/>
        <item x="29"/>
        <item x="16"/>
        <item x="26"/>
        <item x="30"/>
        <item x="2"/>
        <item x="31"/>
        <item x="8"/>
        <item x="10"/>
        <item x="20"/>
        <item x="1"/>
        <item t="default"/>
      </items>
    </pivotField>
    <pivotField showAll="0"/>
    <pivotField dataField="1" showAll="0"/>
  </pivotFields>
  <rowItems count="1">
    <i/>
  </rowItems>
  <colItems count="1">
    <i/>
  </colItems>
  <dataFields count="1">
    <dataField name="Count of Insurance Premium ($)" fld="6" subtotal="count" baseField="0" baseItem="0"/>
  </dataFields>
  <formats count="1">
    <format dxfId="1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00812D-4872-4031-BADC-9522B3286A8F}"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7">
    <pivotField showAll="0"/>
    <pivotField showAll="0"/>
    <pivotField showAll="0"/>
    <pivotField showAll="0"/>
    <pivotField showAll="0">
      <items count="37">
        <item x="19"/>
        <item x="3"/>
        <item x="15"/>
        <item x="32"/>
        <item x="34"/>
        <item x="17"/>
        <item x="13"/>
        <item x="12"/>
        <item x="5"/>
        <item x="21"/>
        <item x="6"/>
        <item x="25"/>
        <item x="0"/>
        <item x="23"/>
        <item x="33"/>
        <item x="4"/>
        <item x="22"/>
        <item x="14"/>
        <item x="35"/>
        <item x="28"/>
        <item x="18"/>
        <item x="7"/>
        <item x="9"/>
        <item x="11"/>
        <item x="24"/>
        <item x="27"/>
        <item x="29"/>
        <item x="16"/>
        <item x="26"/>
        <item x="30"/>
        <item x="2"/>
        <item x="31"/>
        <item x="8"/>
        <item x="10"/>
        <item x="20"/>
        <item x="1"/>
        <item t="default"/>
      </items>
    </pivotField>
    <pivotField showAll="0"/>
    <pivotField dataField="1" showAll="0"/>
  </pivotFields>
  <rowItems count="1">
    <i/>
  </rowItems>
  <colItems count="1">
    <i/>
  </colItems>
  <dataFields count="1">
    <dataField name="Max of Insurance Premium ($)" fld="6" subtotal="max" baseField="0" baseItem="0" numFmtId="165"/>
  </dataFields>
  <formats count="1">
    <format dxfId="1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DD5C48-BFE4-4021-9E2D-570B211F52FC}"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7">
    <pivotField showAll="0"/>
    <pivotField showAll="0"/>
    <pivotField showAll="0"/>
    <pivotField showAll="0"/>
    <pivotField showAll="0">
      <items count="37">
        <item x="19"/>
        <item x="3"/>
        <item x="15"/>
        <item x="32"/>
        <item x="34"/>
        <item x="17"/>
        <item x="13"/>
        <item x="12"/>
        <item x="5"/>
        <item x="21"/>
        <item x="6"/>
        <item x="25"/>
        <item x="0"/>
        <item x="23"/>
        <item x="33"/>
        <item x="4"/>
        <item x="22"/>
        <item x="14"/>
        <item x="35"/>
        <item x="28"/>
        <item x="18"/>
        <item x="7"/>
        <item x="9"/>
        <item x="11"/>
        <item x="24"/>
        <item x="27"/>
        <item x="29"/>
        <item x="16"/>
        <item x="26"/>
        <item x="30"/>
        <item x="2"/>
        <item x="31"/>
        <item x="8"/>
        <item x="10"/>
        <item x="20"/>
        <item x="1"/>
        <item t="default"/>
      </items>
    </pivotField>
    <pivotField showAll="0"/>
    <pivotField dataField="1" showAll="0"/>
  </pivotFields>
  <rowItems count="1">
    <i/>
  </rowItems>
  <colItems count="1">
    <i/>
  </colItems>
  <dataFields count="1">
    <dataField name="Average of Insurance Premium ($)" fld="6" subtotal="average" baseField="0" baseItem="0" numFmtId="165"/>
  </dataFields>
  <formats count="1">
    <format dxfId="18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B82458-BE51-450A-A28D-A0A85BA037ED}"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7">
    <pivotField showAll="0"/>
    <pivotField showAll="0"/>
    <pivotField showAll="0"/>
    <pivotField showAll="0"/>
    <pivotField showAll="0">
      <items count="37">
        <item x="19"/>
        <item x="3"/>
        <item x="15"/>
        <item x="32"/>
        <item x="34"/>
        <item x="17"/>
        <item x="13"/>
        <item x="12"/>
        <item x="5"/>
        <item x="21"/>
        <item x="6"/>
        <item x="25"/>
        <item x="0"/>
        <item x="23"/>
        <item x="33"/>
        <item x="4"/>
        <item x="22"/>
        <item x="14"/>
        <item x="35"/>
        <item x="28"/>
        <item x="18"/>
        <item x="7"/>
        <item x="9"/>
        <item x="11"/>
        <item x="24"/>
        <item x="27"/>
        <item x="29"/>
        <item x="16"/>
        <item x="26"/>
        <item x="30"/>
        <item x="2"/>
        <item x="31"/>
        <item x="8"/>
        <item x="10"/>
        <item x="20"/>
        <item x="1"/>
        <item t="default"/>
      </items>
    </pivotField>
    <pivotField showAll="0"/>
    <pivotField dataField="1" showAll="0"/>
  </pivotFields>
  <rowItems count="1">
    <i/>
  </rowItems>
  <colItems count="1">
    <i/>
  </colItems>
  <dataFields count="1">
    <dataField name="Min of Insurance Premium ($)" fld="6" subtotal="min" baseField="0" baseItem="0" numFmtId="165"/>
  </dataFields>
  <formats count="1">
    <format dxfId="18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B0D2C7-0C3D-4533-85EE-BBD12C17E818}"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7">
    <pivotField showAll="0"/>
    <pivotField showAll="0"/>
    <pivotField showAll="0"/>
    <pivotField showAll="0"/>
    <pivotField showAll="0">
      <items count="37">
        <item x="19"/>
        <item x="3"/>
        <item x="15"/>
        <item x="32"/>
        <item x="34"/>
        <item x="17"/>
        <item x="13"/>
        <item x="12"/>
        <item x="5"/>
        <item x="21"/>
        <item x="6"/>
        <item x="25"/>
        <item x="0"/>
        <item x="23"/>
        <item x="33"/>
        <item x="4"/>
        <item x="22"/>
        <item x="14"/>
        <item x="35"/>
        <item x="28"/>
        <item x="18"/>
        <item x="7"/>
        <item x="9"/>
        <item x="11"/>
        <item x="24"/>
        <item x="27"/>
        <item x="29"/>
        <item x="16"/>
        <item x="26"/>
        <item x="30"/>
        <item x="2"/>
        <item x="31"/>
        <item x="8"/>
        <item x="10"/>
        <item x="20"/>
        <item x="1"/>
        <item t="default"/>
      </items>
    </pivotField>
    <pivotField showAll="0"/>
    <pivotField dataField="1" showAll="0"/>
  </pivotFields>
  <rowItems count="1">
    <i/>
  </rowItems>
  <colItems count="1">
    <i/>
  </colItems>
  <dataFields count="1">
    <dataField name="Sum of Insurance Premium ($)" fld="6" baseField="0" baseItem="0" numFmtId="165"/>
  </dataFields>
  <formats count="1">
    <format dxfId="1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Manufacturing_Year" xr10:uid="{84D65044-ACD9-4998-B0A6-816F525874DF}" sourceName="Car Manufacturing Year">
  <pivotTables>
    <pivotTable tabId="3" name="PivotTable17"/>
    <pivotTable tabId="6" name="PivotTable20"/>
    <pivotTable tabId="7" name="PivotTable21"/>
    <pivotTable tabId="4" name="PivotTable18"/>
    <pivotTable tabId="5" name="PivotTable19"/>
    <pivotTable tabId="8" name="PivotTable22"/>
    <pivotTable tabId="8" name="PivotTable24"/>
    <pivotTable tabId="8" name="PivotTable25"/>
    <pivotTable tabId="8" name="PivotTable26"/>
    <pivotTable tabId="8" name="PivotTable23"/>
  </pivotTables>
  <data>
    <tabular pivotCacheId="1199317235" sortOrder="descending">
      <items count="36">
        <i x="1" s="1"/>
        <i x="20" s="1"/>
        <i x="10" s="1"/>
        <i x="8" s="1"/>
        <i x="31" s="1"/>
        <i x="2" s="1"/>
        <i x="30" s="1"/>
        <i x="26" s="1"/>
        <i x="16" s="1"/>
        <i x="29" s="1"/>
        <i x="27" s="1"/>
        <i x="24" s="1"/>
        <i x="11" s="1"/>
        <i x="9" s="1"/>
        <i x="7" s="1"/>
        <i x="18" s="1"/>
        <i x="28" s="1"/>
        <i x="35" s="1"/>
        <i x="14" s="1"/>
        <i x="22" s="1"/>
        <i x="4" s="1"/>
        <i x="33" s="1"/>
        <i x="23" s="1"/>
        <i x="0" s="1"/>
        <i x="25" s="1"/>
        <i x="6" s="1"/>
        <i x="21" s="1"/>
        <i x="5" s="1"/>
        <i x="12" s="1"/>
        <i x="13" s="1"/>
        <i x="17" s="1"/>
        <i x="34" s="1"/>
        <i x="32" s="1"/>
        <i x="15" s="1"/>
        <i x="3" s="1"/>
        <i x="1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 Manufacturing Year" xr10:uid="{2CA83A72-9BCF-49C2-9560-19C529D9FC50}" cache="Slicer_Car_Manufacturing_Year" caption="Car Manufacturing Year" columnCount="2" style="SlicerStyleDark5"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49D94-899E-40D3-8F31-0117CD2565A3}">
  <dimension ref="A1:X35"/>
  <sheetViews>
    <sheetView showGridLines="0" tabSelected="1" workbookViewId="0">
      <selection activeCell="Z10" sqref="Z10"/>
    </sheetView>
  </sheetViews>
  <sheetFormatPr defaultRowHeight="15" x14ac:dyDescent="0.25"/>
  <cols>
    <col min="1" max="16384" width="9.140625" style="5"/>
  </cols>
  <sheetData>
    <row r="1" spans="1:24" x14ac:dyDescent="0.25">
      <c r="A1" s="6"/>
      <c r="B1" s="7"/>
      <c r="C1" s="7"/>
      <c r="D1" s="7"/>
      <c r="E1" s="7"/>
      <c r="F1" s="7"/>
      <c r="G1" s="7"/>
      <c r="H1" s="7"/>
      <c r="I1" s="7"/>
      <c r="J1" s="7"/>
      <c r="K1" s="7"/>
      <c r="L1" s="7"/>
      <c r="M1" s="7"/>
      <c r="N1" s="7"/>
      <c r="O1" s="7"/>
      <c r="P1" s="7"/>
      <c r="Q1" s="7"/>
      <c r="R1" s="7"/>
      <c r="S1" s="7"/>
      <c r="T1" s="7"/>
      <c r="U1" s="7"/>
      <c r="V1" s="7"/>
      <c r="W1" s="7"/>
      <c r="X1" s="8"/>
    </row>
    <row r="2" spans="1:24" x14ac:dyDescent="0.25">
      <c r="A2" s="9"/>
      <c r="X2" s="10"/>
    </row>
    <row r="3" spans="1:24" x14ac:dyDescent="0.25">
      <c r="A3" s="9"/>
      <c r="X3" s="10"/>
    </row>
    <row r="4" spans="1:24" x14ac:dyDescent="0.25">
      <c r="A4" s="9"/>
      <c r="X4" s="10"/>
    </row>
    <row r="5" spans="1:24" x14ac:dyDescent="0.25">
      <c r="A5" s="9"/>
      <c r="X5" s="10"/>
    </row>
    <row r="6" spans="1:24" x14ac:dyDescent="0.25">
      <c r="A6" s="9"/>
      <c r="X6" s="10"/>
    </row>
    <row r="7" spans="1:24" x14ac:dyDescent="0.25">
      <c r="A7" s="9"/>
      <c r="X7" s="10"/>
    </row>
    <row r="8" spans="1:24" x14ac:dyDescent="0.25">
      <c r="A8" s="9"/>
      <c r="X8" s="10"/>
    </row>
    <row r="9" spans="1:24" x14ac:dyDescent="0.25">
      <c r="A9" s="9"/>
      <c r="X9" s="10"/>
    </row>
    <row r="10" spans="1:24" x14ac:dyDescent="0.25">
      <c r="A10" s="9"/>
      <c r="X10" s="10"/>
    </row>
    <row r="11" spans="1:24" x14ac:dyDescent="0.25">
      <c r="A11" s="9"/>
      <c r="X11" s="10"/>
    </row>
    <row r="12" spans="1:24" x14ac:dyDescent="0.25">
      <c r="A12" s="9"/>
      <c r="X12" s="10"/>
    </row>
    <row r="13" spans="1:24" x14ac:dyDescent="0.25">
      <c r="A13" s="9"/>
      <c r="X13" s="10"/>
    </row>
    <row r="14" spans="1:24" x14ac:dyDescent="0.25">
      <c r="A14" s="9"/>
      <c r="X14" s="10"/>
    </row>
    <row r="15" spans="1:24" x14ac:dyDescent="0.25">
      <c r="A15" s="9"/>
      <c r="X15" s="10"/>
    </row>
    <row r="16" spans="1:24" x14ac:dyDescent="0.25">
      <c r="A16" s="9"/>
      <c r="X16" s="10"/>
    </row>
    <row r="17" spans="1:24" x14ac:dyDescent="0.25">
      <c r="A17" s="9"/>
      <c r="X17" s="10"/>
    </row>
    <row r="18" spans="1:24" x14ac:dyDescent="0.25">
      <c r="A18" s="9"/>
      <c r="X18" s="10"/>
    </row>
    <row r="19" spans="1:24" x14ac:dyDescent="0.25">
      <c r="A19" s="9"/>
      <c r="X19" s="10"/>
    </row>
    <row r="20" spans="1:24" x14ac:dyDescent="0.25">
      <c r="A20" s="9"/>
      <c r="X20" s="10"/>
    </row>
    <row r="21" spans="1:24" x14ac:dyDescent="0.25">
      <c r="A21" s="9"/>
      <c r="X21" s="10"/>
    </row>
    <row r="22" spans="1:24" x14ac:dyDescent="0.25">
      <c r="A22" s="9"/>
      <c r="X22" s="10"/>
    </row>
    <row r="23" spans="1:24" x14ac:dyDescent="0.25">
      <c r="A23" s="9"/>
      <c r="X23" s="10"/>
    </row>
    <row r="24" spans="1:24" x14ac:dyDescent="0.25">
      <c r="A24" s="9"/>
      <c r="X24" s="10"/>
    </row>
    <row r="25" spans="1:24" x14ac:dyDescent="0.25">
      <c r="A25" s="9"/>
      <c r="X25" s="10"/>
    </row>
    <row r="26" spans="1:24" x14ac:dyDescent="0.25">
      <c r="A26" s="9"/>
      <c r="X26" s="10"/>
    </row>
    <row r="27" spans="1:24" x14ac:dyDescent="0.25">
      <c r="A27" s="9"/>
      <c r="X27" s="10"/>
    </row>
    <row r="28" spans="1:24" x14ac:dyDescent="0.25">
      <c r="A28" s="9"/>
      <c r="X28" s="10"/>
    </row>
    <row r="29" spans="1:24" x14ac:dyDescent="0.25">
      <c r="A29" s="9"/>
      <c r="X29" s="10"/>
    </row>
    <row r="30" spans="1:24" x14ac:dyDescent="0.25">
      <c r="A30" s="9"/>
      <c r="X30" s="10"/>
    </row>
    <row r="31" spans="1:24" x14ac:dyDescent="0.25">
      <c r="A31" s="9"/>
      <c r="X31" s="10"/>
    </row>
    <row r="32" spans="1:24" x14ac:dyDescent="0.25">
      <c r="A32" s="9"/>
      <c r="X32" s="10"/>
    </row>
    <row r="33" spans="1:24" x14ac:dyDescent="0.25">
      <c r="A33" s="9"/>
      <c r="X33" s="10"/>
    </row>
    <row r="34" spans="1:24" x14ac:dyDescent="0.25">
      <c r="A34" s="9"/>
      <c r="X34" s="10"/>
    </row>
    <row r="35" spans="1:24" x14ac:dyDescent="0.25">
      <c r="A35" s="11"/>
      <c r="B35" s="12"/>
      <c r="C35" s="12"/>
      <c r="D35" s="12"/>
      <c r="E35" s="12"/>
      <c r="F35" s="12"/>
      <c r="G35" s="12"/>
      <c r="H35" s="12"/>
      <c r="I35" s="12"/>
      <c r="J35" s="12"/>
      <c r="K35" s="12"/>
      <c r="L35" s="12"/>
      <c r="M35" s="12"/>
      <c r="N35" s="12"/>
      <c r="O35" s="12"/>
      <c r="P35" s="12"/>
      <c r="Q35" s="12"/>
      <c r="R35" s="12"/>
      <c r="S35" s="12"/>
      <c r="T35" s="12"/>
      <c r="U35" s="12"/>
      <c r="V35" s="12"/>
      <c r="W35" s="12"/>
      <c r="X35"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0607D-8C04-4082-A1F5-F9050220EFF2}">
  <dimension ref="A1:B14"/>
  <sheetViews>
    <sheetView workbookViewId="0">
      <selection activeCell="U6" sqref="U6"/>
    </sheetView>
  </sheetViews>
  <sheetFormatPr defaultRowHeight="15" x14ac:dyDescent="0.25"/>
  <cols>
    <col min="1" max="1" width="14" bestFit="1" customWidth="1"/>
    <col min="2" max="2" width="31.85546875" bestFit="1" customWidth="1"/>
  </cols>
  <sheetData>
    <row r="1" spans="1:2" x14ac:dyDescent="0.25">
      <c r="A1" t="s">
        <v>11</v>
      </c>
    </row>
    <row r="3" spans="1:2" x14ac:dyDescent="0.25">
      <c r="A3" s="1" t="s">
        <v>14</v>
      </c>
      <c r="B3" t="s">
        <v>10</v>
      </c>
    </row>
    <row r="4" spans="1:2" x14ac:dyDescent="0.25">
      <c r="A4" s="2" t="s">
        <v>36</v>
      </c>
      <c r="B4" s="3">
        <v>501.56666666666655</v>
      </c>
    </row>
    <row r="5" spans="1:2" x14ac:dyDescent="0.25">
      <c r="A5" s="2" t="s">
        <v>32</v>
      </c>
      <c r="B5" s="3">
        <v>499.07833333333321</v>
      </c>
    </row>
    <row r="6" spans="1:2" x14ac:dyDescent="0.25">
      <c r="A6" s="2" t="s">
        <v>30</v>
      </c>
      <c r="B6" s="3">
        <v>496.74736842105261</v>
      </c>
    </row>
    <row r="7" spans="1:2" x14ac:dyDescent="0.25">
      <c r="A7" s="2" t="s">
        <v>33</v>
      </c>
      <c r="B7" s="3">
        <v>495.4882978723403</v>
      </c>
    </row>
    <row r="8" spans="1:2" x14ac:dyDescent="0.25">
      <c r="A8" s="2" t="s">
        <v>34</v>
      </c>
      <c r="B8" s="3">
        <v>493.36507936507968</v>
      </c>
    </row>
    <row r="9" spans="1:2" x14ac:dyDescent="0.25">
      <c r="A9" s="2" t="s">
        <v>29</v>
      </c>
      <c r="B9" s="3">
        <v>491.38088235294123</v>
      </c>
    </row>
    <row r="10" spans="1:2" x14ac:dyDescent="0.25">
      <c r="A10" s="2" t="s">
        <v>35</v>
      </c>
      <c r="B10" s="3">
        <v>490.62933884297541</v>
      </c>
    </row>
    <row r="11" spans="1:2" x14ac:dyDescent="0.25">
      <c r="A11" s="2" t="s">
        <v>28</v>
      </c>
      <c r="B11" s="3">
        <v>489.08267326732681</v>
      </c>
    </row>
    <row r="12" spans="1:2" x14ac:dyDescent="0.25">
      <c r="A12" s="2" t="s">
        <v>31</v>
      </c>
      <c r="B12" s="3">
        <v>487.28977272727292</v>
      </c>
    </row>
    <row r="13" spans="1:2" x14ac:dyDescent="0.25">
      <c r="A13" s="2" t="s">
        <v>37</v>
      </c>
      <c r="B13" s="3">
        <v>487.85312499999992</v>
      </c>
    </row>
    <row r="14" spans="1:2" x14ac:dyDescent="0.25">
      <c r="A14" s="2" t="s">
        <v>8</v>
      </c>
      <c r="B14" s="3">
        <v>493.74225000000018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8F9B6-ADB5-43BA-82F6-631C2CF06CE7}">
  <dimension ref="A1:B12"/>
  <sheetViews>
    <sheetView workbookViewId="0">
      <selection activeCell="A3" sqref="A3"/>
    </sheetView>
  </sheetViews>
  <sheetFormatPr defaultRowHeight="15" x14ac:dyDescent="0.25"/>
  <cols>
    <col min="1" max="1" width="21.140625" bestFit="1" customWidth="1"/>
    <col min="2" max="2" width="31.85546875" bestFit="1" customWidth="1"/>
  </cols>
  <sheetData>
    <row r="1" spans="1:2" x14ac:dyDescent="0.25">
      <c r="A1" t="s">
        <v>15</v>
      </c>
    </row>
    <row r="3" spans="1:2" x14ac:dyDescent="0.25">
      <c r="A3" s="1" t="s">
        <v>13</v>
      </c>
      <c r="B3" t="s">
        <v>10</v>
      </c>
    </row>
    <row r="4" spans="1:2" x14ac:dyDescent="0.25">
      <c r="A4" s="2" t="s">
        <v>41</v>
      </c>
      <c r="B4" s="3">
        <v>499.37177419354833</v>
      </c>
    </row>
    <row r="5" spans="1:2" x14ac:dyDescent="0.25">
      <c r="A5" s="2" t="s">
        <v>42</v>
      </c>
      <c r="B5" s="3">
        <v>496.42812500000008</v>
      </c>
    </row>
    <row r="6" spans="1:2" x14ac:dyDescent="0.25">
      <c r="A6" s="2" t="s">
        <v>40</v>
      </c>
      <c r="B6" s="3">
        <v>494.80617283950613</v>
      </c>
    </row>
    <row r="7" spans="1:2" x14ac:dyDescent="0.25">
      <c r="A7" s="2" t="s">
        <v>39</v>
      </c>
      <c r="B7" s="3">
        <v>492.43130081300819</v>
      </c>
    </row>
    <row r="8" spans="1:2" x14ac:dyDescent="0.25">
      <c r="A8" s="2" t="s">
        <v>44</v>
      </c>
      <c r="B8" s="3">
        <v>490.13560000000018</v>
      </c>
    </row>
    <row r="9" spans="1:2" x14ac:dyDescent="0.25">
      <c r="A9" s="2" t="s">
        <v>45</v>
      </c>
      <c r="B9" s="3">
        <v>487.46829268292686</v>
      </c>
    </row>
    <row r="10" spans="1:2" x14ac:dyDescent="0.25">
      <c r="A10" s="2" t="s">
        <v>38</v>
      </c>
      <c r="B10" s="3">
        <v>485.9708955223881</v>
      </c>
    </row>
    <row r="11" spans="1:2" x14ac:dyDescent="0.25">
      <c r="A11" s="2" t="s">
        <v>43</v>
      </c>
      <c r="B11" s="3">
        <v>483.10606060606057</v>
      </c>
    </row>
    <row r="12" spans="1:2" x14ac:dyDescent="0.25">
      <c r="A12" s="2" t="s">
        <v>8</v>
      </c>
      <c r="B12" s="3">
        <v>493.74224999999967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D947B-5785-4D1F-8DD8-976F9346B2D3}">
  <dimension ref="A1:B10"/>
  <sheetViews>
    <sheetView workbookViewId="0">
      <selection activeCell="C20" sqref="C20"/>
    </sheetView>
  </sheetViews>
  <sheetFormatPr defaultRowHeight="15" x14ac:dyDescent="0.25"/>
  <cols>
    <col min="1" max="1" width="19.7109375" bestFit="1" customWidth="1"/>
    <col min="2" max="2" width="31.85546875" bestFit="1" customWidth="1"/>
  </cols>
  <sheetData>
    <row r="1" spans="1:2" x14ac:dyDescent="0.25">
      <c r="A1" t="s">
        <v>16</v>
      </c>
    </row>
    <row r="3" spans="1:2" x14ac:dyDescent="0.25">
      <c r="A3" s="1" t="s">
        <v>12</v>
      </c>
      <c r="B3" t="s">
        <v>10</v>
      </c>
    </row>
    <row r="4" spans="1:2" x14ac:dyDescent="0.25">
      <c r="A4" s="2">
        <v>0</v>
      </c>
      <c r="B4" s="3">
        <v>489.98409090909075</v>
      </c>
    </row>
    <row r="5" spans="1:2" x14ac:dyDescent="0.25">
      <c r="A5" s="2">
        <v>1</v>
      </c>
      <c r="B5" s="3">
        <v>491.95409356725145</v>
      </c>
    </row>
    <row r="6" spans="1:2" x14ac:dyDescent="0.25">
      <c r="A6" s="2">
        <v>2</v>
      </c>
      <c r="B6" s="3">
        <v>492.26944444444456</v>
      </c>
    </row>
    <row r="7" spans="1:2" x14ac:dyDescent="0.25">
      <c r="A7" s="2">
        <v>3</v>
      </c>
      <c r="B7" s="3">
        <v>494.53567567567558</v>
      </c>
    </row>
    <row r="8" spans="1:2" x14ac:dyDescent="0.25">
      <c r="A8" s="2">
        <v>4</v>
      </c>
      <c r="B8" s="3">
        <v>495.67073863636398</v>
      </c>
    </row>
    <row r="9" spans="1:2" x14ac:dyDescent="0.25">
      <c r="A9" s="2">
        <v>5</v>
      </c>
      <c r="B9" s="3">
        <v>497.3329411764708</v>
      </c>
    </row>
    <row r="10" spans="1:2" x14ac:dyDescent="0.25">
      <c r="A10" s="2" t="s">
        <v>8</v>
      </c>
      <c r="B10" s="3">
        <v>493.74225000000001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99FD0-D0A8-40CC-867C-D554AEFCB366}">
  <dimension ref="A1:B8"/>
  <sheetViews>
    <sheetView workbookViewId="0">
      <selection activeCell="B18" sqref="B18"/>
    </sheetView>
  </sheetViews>
  <sheetFormatPr defaultRowHeight="15" x14ac:dyDescent="0.25"/>
  <cols>
    <col min="1" max="1" width="28" bestFit="1" customWidth="1"/>
    <col min="2" max="2" width="31.85546875" bestFit="1" customWidth="1"/>
  </cols>
  <sheetData>
    <row r="1" spans="1:2" x14ac:dyDescent="0.25">
      <c r="A1" t="s">
        <v>18</v>
      </c>
    </row>
    <row r="3" spans="1:2" x14ac:dyDescent="0.25">
      <c r="A3" s="1" t="s">
        <v>17</v>
      </c>
      <c r="B3" t="s">
        <v>10</v>
      </c>
    </row>
    <row r="4" spans="1:2" x14ac:dyDescent="0.25">
      <c r="A4" s="2" t="s">
        <v>46</v>
      </c>
      <c r="B4" s="3">
        <v>493.86480769230758</v>
      </c>
    </row>
    <row r="5" spans="1:2" x14ac:dyDescent="0.25">
      <c r="A5" s="2" t="s">
        <v>47</v>
      </c>
      <c r="B5" s="3">
        <v>493.45454545454567</v>
      </c>
    </row>
    <row r="6" spans="1:2" x14ac:dyDescent="0.25">
      <c r="A6" s="2" t="s">
        <v>48</v>
      </c>
      <c r="B6" s="3">
        <v>493.62962962962939</v>
      </c>
    </row>
    <row r="7" spans="1:2" x14ac:dyDescent="0.25">
      <c r="A7" s="2" t="s">
        <v>49</v>
      </c>
      <c r="B7" s="3">
        <v>494.33382352941175</v>
      </c>
    </row>
    <row r="8" spans="1:2" x14ac:dyDescent="0.25">
      <c r="A8" s="2" t="s">
        <v>8</v>
      </c>
      <c r="B8" s="3">
        <v>493.74225000000024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7831B-4CA6-4875-825C-336C68078E09}">
  <dimension ref="A1:B11"/>
  <sheetViews>
    <sheetView workbookViewId="0">
      <selection activeCell="G22" sqref="G22"/>
    </sheetView>
  </sheetViews>
  <sheetFormatPr defaultRowHeight="15" x14ac:dyDescent="0.25"/>
  <cols>
    <col min="1" max="1" width="13.42578125" bestFit="1" customWidth="1"/>
    <col min="2" max="2" width="31.85546875" bestFit="1" customWidth="1"/>
  </cols>
  <sheetData>
    <row r="1" spans="1:2" x14ac:dyDescent="0.25">
      <c r="A1" t="s">
        <v>22</v>
      </c>
    </row>
    <row r="3" spans="1:2" x14ac:dyDescent="0.25">
      <c r="A3" s="1" t="s">
        <v>7</v>
      </c>
      <c r="B3" t="s">
        <v>10</v>
      </c>
    </row>
    <row r="4" spans="1:2" x14ac:dyDescent="0.25">
      <c r="A4" s="2" t="s">
        <v>38</v>
      </c>
      <c r="B4" s="3">
        <v>495.6258865248227</v>
      </c>
    </row>
    <row r="5" spans="1:2" x14ac:dyDescent="0.25">
      <c r="A5" s="2" t="s">
        <v>45</v>
      </c>
      <c r="B5" s="3">
        <v>494.59210526315809</v>
      </c>
    </row>
    <row r="6" spans="1:2" x14ac:dyDescent="0.25">
      <c r="A6" s="2" t="s">
        <v>39</v>
      </c>
      <c r="B6" s="3">
        <v>494.14225352112663</v>
      </c>
    </row>
    <row r="7" spans="1:2" x14ac:dyDescent="0.25">
      <c r="A7" s="2" t="s">
        <v>44</v>
      </c>
      <c r="B7" s="3">
        <v>493.74274809160306</v>
      </c>
    </row>
    <row r="8" spans="1:2" x14ac:dyDescent="0.25">
      <c r="A8" s="2" t="s">
        <v>40</v>
      </c>
      <c r="B8" s="3">
        <v>493.42500000000018</v>
      </c>
    </row>
    <row r="9" spans="1:2" x14ac:dyDescent="0.25">
      <c r="A9" s="2" t="s">
        <v>42</v>
      </c>
      <c r="B9" s="3">
        <v>492.53051948051956</v>
      </c>
    </row>
    <row r="10" spans="1:2" x14ac:dyDescent="0.25">
      <c r="A10" s="2" t="s">
        <v>41</v>
      </c>
      <c r="B10" s="3">
        <v>492.45628930817583</v>
      </c>
    </row>
    <row r="11" spans="1:2" x14ac:dyDescent="0.25">
      <c r="A11" s="2" t="s">
        <v>8</v>
      </c>
      <c r="B11" s="3">
        <v>493.74225000000001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EA604-0953-4455-99A6-D8E516FDB73F}">
  <dimension ref="A3:A20"/>
  <sheetViews>
    <sheetView workbookViewId="0">
      <selection activeCell="A12" sqref="A12"/>
    </sheetView>
  </sheetViews>
  <sheetFormatPr defaultRowHeight="15" x14ac:dyDescent="0.25"/>
  <cols>
    <col min="1" max="1" width="31.85546875" bestFit="1" customWidth="1"/>
  </cols>
  <sheetData>
    <row r="3" spans="1:1" x14ac:dyDescent="0.25">
      <c r="A3" t="s">
        <v>19</v>
      </c>
    </row>
    <row r="4" spans="1:1" x14ac:dyDescent="0.25">
      <c r="A4" s="4">
        <v>477.05</v>
      </c>
    </row>
    <row r="7" spans="1:1" x14ac:dyDescent="0.25">
      <c r="A7" t="s">
        <v>10</v>
      </c>
    </row>
    <row r="8" spans="1:1" x14ac:dyDescent="0.25">
      <c r="A8" s="4">
        <v>493.74225000000007</v>
      </c>
    </row>
    <row r="11" spans="1:1" x14ac:dyDescent="0.25">
      <c r="A11" t="s">
        <v>20</v>
      </c>
    </row>
    <row r="12" spans="1:1" x14ac:dyDescent="0.25">
      <c r="A12" s="4">
        <v>508.15</v>
      </c>
    </row>
    <row r="15" spans="1:1" x14ac:dyDescent="0.25">
      <c r="A15" t="s">
        <v>21</v>
      </c>
    </row>
    <row r="16" spans="1:1" x14ac:dyDescent="0.25">
      <c r="A16" s="3">
        <v>1000</v>
      </c>
    </row>
    <row r="19" spans="1:1" x14ac:dyDescent="0.25">
      <c r="A19" t="s">
        <v>9</v>
      </c>
    </row>
    <row r="20" spans="1:1" x14ac:dyDescent="0.25">
      <c r="A20" s="4">
        <v>493742.25000000006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6C875-4AF0-4338-8768-C6C54E189D62}">
  <dimension ref="A1:W1001"/>
  <sheetViews>
    <sheetView topLeftCell="G1" workbookViewId="0">
      <pane ySplit="1" topLeftCell="A2" activePane="bottomLeft" state="frozen"/>
      <selection pane="bottomLeft" activeCell="N13" sqref="N13"/>
    </sheetView>
  </sheetViews>
  <sheetFormatPr defaultRowHeight="15" x14ac:dyDescent="0.25"/>
  <cols>
    <col min="1" max="1" width="9.7109375" bestFit="1" customWidth="1"/>
    <col min="2" max="2" width="16.140625" bestFit="1" customWidth="1"/>
    <col min="3" max="3" width="17.85546875" bestFit="1" customWidth="1"/>
    <col min="4" max="4" width="24.85546875" bestFit="1" customWidth="1"/>
    <col min="5" max="5" width="22" bestFit="1" customWidth="1"/>
    <col min="6" max="6" width="7.5703125" bestFit="1" customWidth="1"/>
    <col min="7" max="7" width="21.5703125" bestFit="1" customWidth="1"/>
    <col min="8" max="8" width="7.5703125" bestFit="1" customWidth="1"/>
    <col min="16" max="16" width="12" bestFit="1" customWidth="1"/>
    <col min="17" max="17" width="11.28515625" bestFit="1" customWidth="1"/>
    <col min="18" max="18" width="21.42578125" bestFit="1" customWidth="1"/>
    <col min="21" max="21" width="12" bestFit="1" customWidth="1"/>
    <col min="22" max="22" width="11.28515625" bestFit="1" customWidth="1"/>
  </cols>
  <sheetData>
    <row r="1" spans="1:23" ht="30" customHeight="1" x14ac:dyDescent="0.25">
      <c r="A1" t="s">
        <v>0</v>
      </c>
      <c r="B1" t="s">
        <v>1</v>
      </c>
      <c r="C1" t="s">
        <v>2</v>
      </c>
      <c r="D1" t="s">
        <v>3</v>
      </c>
      <c r="E1" t="s">
        <v>4</v>
      </c>
      <c r="F1" t="s">
        <v>5</v>
      </c>
      <c r="G1" t="s">
        <v>6</v>
      </c>
      <c r="L1" t="s">
        <v>24</v>
      </c>
      <c r="M1" t="s">
        <v>25</v>
      </c>
      <c r="N1" t="s">
        <v>23</v>
      </c>
      <c r="P1" t="s">
        <v>24</v>
      </c>
      <c r="Q1" t="s">
        <v>25</v>
      </c>
      <c r="R1" t="s">
        <v>26</v>
      </c>
      <c r="U1" t="s">
        <v>24</v>
      </c>
      <c r="V1" t="s">
        <v>25</v>
      </c>
      <c r="W1" t="s">
        <v>27</v>
      </c>
    </row>
    <row r="2" spans="1:23" x14ac:dyDescent="0.25">
      <c r="A2" t="str">
        <f>_xlfn.XLOOKUP('Raw Data'!A2,$M$2:$M$11,$N$2:$N$11,,1)</f>
        <v>53 - 58</v>
      </c>
      <c r="B2" t="str">
        <f>_xlfn.XLOOKUP('Raw Data'!B2,$Q$2:$Q$9,$R$2:$R$9,,1)</f>
        <v>30 - 35</v>
      </c>
      <c r="C2">
        <v>4</v>
      </c>
      <c r="D2" t="str">
        <f>_xlfn.XLOOKUP('Raw Data'!D2,$V$2:$V$5,$W$2:$W$5,,1)</f>
        <v>15 - 19</v>
      </c>
      <c r="E2">
        <v>2002</v>
      </c>
      <c r="F2" t="str">
        <f>_xlfn.XLOOKUP('Raw Data'!F2,$Q$2:$Q$9,$R$2:$R$9,,1)</f>
        <v>20 - 25</v>
      </c>
      <c r="G2">
        <v>488.35</v>
      </c>
      <c r="L2">
        <v>18</v>
      </c>
      <c r="M2">
        <f>5+L2</f>
        <v>23</v>
      </c>
      <c r="N2" t="str">
        <f>L2&amp;" - "&amp;M2</f>
        <v>18 - 23</v>
      </c>
      <c r="P2">
        <v>0</v>
      </c>
      <c r="Q2">
        <f>5+P2</f>
        <v>5</v>
      </c>
      <c r="R2" t="str">
        <f>P2&amp;" - "&amp;Q2</f>
        <v>0 - 5</v>
      </c>
      <c r="U2">
        <v>11</v>
      </c>
      <c r="V2">
        <f>4+U2</f>
        <v>15</v>
      </c>
      <c r="W2" t="str">
        <f>U2&amp;" - "&amp;V2</f>
        <v>11 - 15</v>
      </c>
    </row>
    <row r="3" spans="1:23" x14ac:dyDescent="0.25">
      <c r="A3" t="str">
        <f>_xlfn.XLOOKUP('Raw Data'!A3,$M$2:$M$11,$N$2:$N$11,,1)</f>
        <v>43 - 48</v>
      </c>
      <c r="B3" t="str">
        <f>_xlfn.XLOOKUP('Raw Data'!B3,$Q$2:$Q$9,$R$2:$R$9,,1)</f>
        <v>15 - 20</v>
      </c>
      <c r="C3">
        <v>0</v>
      </c>
      <c r="D3" t="str">
        <f>_xlfn.XLOOKUP('Raw Data'!D3,$V$2:$V$5,$W$2:$W$5,,1)</f>
        <v>19 - 23</v>
      </c>
      <c r="E3">
        <v>2025</v>
      </c>
      <c r="F3" t="str">
        <f>_xlfn.XLOOKUP('Raw Data'!F3,$Q$2:$Q$9,$R$2:$R$9,,1)</f>
        <v>0 - 5</v>
      </c>
      <c r="G3">
        <v>486.15</v>
      </c>
      <c r="L3">
        <f>M2</f>
        <v>23</v>
      </c>
      <c r="M3">
        <f t="shared" ref="M3:M11" si="0">5+L3</f>
        <v>28</v>
      </c>
      <c r="N3" t="str">
        <f>L3&amp;" - "&amp;M3</f>
        <v>23 - 28</v>
      </c>
      <c r="P3">
        <f>Q2</f>
        <v>5</v>
      </c>
      <c r="Q3">
        <f t="shared" ref="Q3:Q9" si="1">5+P3</f>
        <v>10</v>
      </c>
      <c r="R3" t="str">
        <f>P3&amp;" - "&amp;Q3</f>
        <v>5 - 10</v>
      </c>
      <c r="U3">
        <f>V2</f>
        <v>15</v>
      </c>
      <c r="V3">
        <f t="shared" ref="V3:V5" si="2">4+U3</f>
        <v>19</v>
      </c>
      <c r="W3" t="str">
        <f>U3&amp;" - "&amp;V3</f>
        <v>15 - 19</v>
      </c>
    </row>
    <row r="4" spans="1:23" x14ac:dyDescent="0.25">
      <c r="A4" t="str">
        <f>_xlfn.XLOOKUP('Raw Data'!A4,$M$2:$M$11,$N$2:$N$11,,1)</f>
        <v>28 - 33</v>
      </c>
      <c r="B4" t="str">
        <f>_xlfn.XLOOKUP('Raw Data'!B4,$Q$2:$Q$9,$R$2:$R$9,,1)</f>
        <v>10 - 15</v>
      </c>
      <c r="C4">
        <v>4</v>
      </c>
      <c r="D4" t="str">
        <f>_xlfn.XLOOKUP('Raw Data'!D4,$V$2:$V$5,$W$2:$W$5,,1)</f>
        <v>11 - 15</v>
      </c>
      <c r="E4">
        <v>2020</v>
      </c>
      <c r="F4" t="str">
        <f>_xlfn.XLOOKUP('Raw Data'!F4,$Q$2:$Q$9,$R$2:$R$9,,1)</f>
        <v>0 - 5</v>
      </c>
      <c r="G4">
        <v>497.55</v>
      </c>
      <c r="L4">
        <f t="shared" ref="L4:L11" si="3">M3</f>
        <v>28</v>
      </c>
      <c r="M4">
        <f t="shared" si="0"/>
        <v>33</v>
      </c>
      <c r="N4" t="str">
        <f t="shared" ref="N4:N11" si="4">L4&amp;" - "&amp;M4</f>
        <v>28 - 33</v>
      </c>
      <c r="P4">
        <f t="shared" ref="P4:P9" si="5">Q3</f>
        <v>10</v>
      </c>
      <c r="Q4">
        <f t="shared" si="1"/>
        <v>15</v>
      </c>
      <c r="R4" t="str">
        <f t="shared" ref="R4:R9" si="6">P4&amp;" - "&amp;Q4</f>
        <v>10 - 15</v>
      </c>
      <c r="U4">
        <f t="shared" ref="U4:U5" si="7">V3</f>
        <v>19</v>
      </c>
      <c r="V4">
        <f t="shared" si="2"/>
        <v>23</v>
      </c>
      <c r="W4" t="str">
        <f t="shared" ref="W4:W5" si="8">U4&amp;" - "&amp;V4</f>
        <v>19 - 23</v>
      </c>
    </row>
    <row r="5" spans="1:23" x14ac:dyDescent="0.25">
      <c r="A5" t="str">
        <f>_xlfn.XLOOKUP('Raw Data'!A5,$M$2:$M$11,$N$2:$N$11,,1)</f>
        <v>58 - 63</v>
      </c>
      <c r="B5" t="str">
        <f>_xlfn.XLOOKUP('Raw Data'!B5,$Q$2:$Q$9,$R$2:$R$9,,1)</f>
        <v>0 - 5</v>
      </c>
      <c r="C5">
        <v>4</v>
      </c>
      <c r="D5" t="str">
        <f>_xlfn.XLOOKUP('Raw Data'!D5,$V$2:$V$5,$W$2:$W$5,,1)</f>
        <v>15 - 19</v>
      </c>
      <c r="E5">
        <v>1991</v>
      </c>
      <c r="F5" t="str">
        <f>_xlfn.XLOOKUP('Raw Data'!F5,$Q$2:$Q$9,$R$2:$R$9,,1)</f>
        <v>30 - 35</v>
      </c>
      <c r="G5">
        <v>498.35</v>
      </c>
      <c r="L5">
        <f t="shared" si="3"/>
        <v>33</v>
      </c>
      <c r="M5">
        <f t="shared" si="0"/>
        <v>38</v>
      </c>
      <c r="N5" t="str">
        <f t="shared" si="4"/>
        <v>33 - 38</v>
      </c>
      <c r="P5">
        <f t="shared" si="5"/>
        <v>15</v>
      </c>
      <c r="Q5">
        <f t="shared" si="1"/>
        <v>20</v>
      </c>
      <c r="R5" t="str">
        <f t="shared" si="6"/>
        <v>15 - 20</v>
      </c>
      <c r="U5">
        <f t="shared" si="7"/>
        <v>23</v>
      </c>
      <c r="V5">
        <f t="shared" si="2"/>
        <v>27</v>
      </c>
      <c r="W5" t="str">
        <f t="shared" si="8"/>
        <v>23 - 27</v>
      </c>
    </row>
    <row r="6" spans="1:23" x14ac:dyDescent="0.25">
      <c r="A6" t="str">
        <f>_xlfn.XLOOKUP('Raw Data'!A6,$M$2:$M$11,$N$2:$N$11,,1)</f>
        <v>23 - 28</v>
      </c>
      <c r="B6" t="str">
        <f>_xlfn.XLOOKUP('Raw Data'!B6,$Q$2:$Q$9,$R$2:$R$9,,1)</f>
        <v>5 - 10</v>
      </c>
      <c r="C6">
        <v>0</v>
      </c>
      <c r="D6" t="str">
        <f>_xlfn.XLOOKUP('Raw Data'!D6,$V$2:$V$5,$W$2:$W$5,,1)</f>
        <v>11 - 15</v>
      </c>
      <c r="E6">
        <v>2005</v>
      </c>
      <c r="F6" t="str">
        <f>_xlfn.XLOOKUP('Raw Data'!F6,$Q$2:$Q$9,$R$2:$R$9,,1)</f>
        <v>15 - 20</v>
      </c>
      <c r="G6">
        <v>495.55</v>
      </c>
      <c r="L6">
        <f t="shared" si="3"/>
        <v>38</v>
      </c>
      <c r="M6">
        <f t="shared" si="0"/>
        <v>43</v>
      </c>
      <c r="N6" t="str">
        <f t="shared" si="4"/>
        <v>38 - 43</v>
      </c>
      <c r="P6">
        <f t="shared" si="5"/>
        <v>20</v>
      </c>
      <c r="Q6">
        <f t="shared" si="1"/>
        <v>25</v>
      </c>
      <c r="R6" t="str">
        <f t="shared" si="6"/>
        <v>20 - 25</v>
      </c>
    </row>
    <row r="7" spans="1:23" x14ac:dyDescent="0.25">
      <c r="A7" t="str">
        <f>_xlfn.XLOOKUP('Raw Data'!A7,$M$2:$M$11,$N$2:$N$11,,1)</f>
        <v>33 - 38</v>
      </c>
      <c r="B7" t="str">
        <f>_xlfn.XLOOKUP('Raw Data'!B7,$Q$2:$Q$9,$R$2:$R$9,,1)</f>
        <v>10 - 15</v>
      </c>
      <c r="C7">
        <v>2</v>
      </c>
      <c r="D7" t="str">
        <f>_xlfn.XLOOKUP('Raw Data'!D7,$V$2:$V$5,$W$2:$W$5,,1)</f>
        <v>11 - 15</v>
      </c>
      <c r="E7">
        <v>1998</v>
      </c>
      <c r="F7" t="str">
        <f>_xlfn.XLOOKUP('Raw Data'!F7,$Q$2:$Q$9,$R$2:$R$9,,1)</f>
        <v>25 - 30</v>
      </c>
      <c r="G7">
        <v>494.75</v>
      </c>
      <c r="L7">
        <f t="shared" si="3"/>
        <v>43</v>
      </c>
      <c r="M7">
        <f t="shared" si="0"/>
        <v>48</v>
      </c>
      <c r="N7" t="str">
        <f t="shared" si="4"/>
        <v>43 - 48</v>
      </c>
      <c r="P7">
        <f t="shared" si="5"/>
        <v>25</v>
      </c>
      <c r="Q7">
        <f t="shared" si="1"/>
        <v>30</v>
      </c>
      <c r="R7" t="str">
        <f t="shared" si="6"/>
        <v>25 - 30</v>
      </c>
    </row>
    <row r="8" spans="1:23" x14ac:dyDescent="0.25">
      <c r="A8" t="str">
        <f>_xlfn.XLOOKUP('Raw Data'!A8,$M$2:$M$11,$N$2:$N$11,,1)</f>
        <v>53 - 58</v>
      </c>
      <c r="B8" t="str">
        <f>_xlfn.XLOOKUP('Raw Data'!B8,$Q$2:$Q$9,$R$2:$R$9,,1)</f>
        <v>35 - 40</v>
      </c>
      <c r="C8">
        <v>3</v>
      </c>
      <c r="D8" t="str">
        <f>_xlfn.XLOOKUP('Raw Data'!D8,$V$2:$V$5,$W$2:$W$5,,1)</f>
        <v>11 - 15</v>
      </c>
      <c r="E8">
        <v>1998</v>
      </c>
      <c r="F8" t="str">
        <f>_xlfn.XLOOKUP('Raw Data'!F8,$Q$2:$Q$9,$R$2:$R$9,,1)</f>
        <v>25 - 30</v>
      </c>
      <c r="G8">
        <v>485.6</v>
      </c>
      <c r="L8">
        <f t="shared" si="3"/>
        <v>48</v>
      </c>
      <c r="M8">
        <f t="shared" si="0"/>
        <v>53</v>
      </c>
      <c r="N8" t="str">
        <f t="shared" si="4"/>
        <v>48 - 53</v>
      </c>
      <c r="P8">
        <f t="shared" si="5"/>
        <v>30</v>
      </c>
      <c r="Q8">
        <f t="shared" si="1"/>
        <v>35</v>
      </c>
      <c r="R8" t="str">
        <f t="shared" si="6"/>
        <v>30 - 35</v>
      </c>
    </row>
    <row r="9" spans="1:23" x14ac:dyDescent="0.25">
      <c r="A9" t="str">
        <f>_xlfn.XLOOKUP('Raw Data'!A9,$M$2:$M$11,$N$2:$N$11,,1)</f>
        <v>33 - 38</v>
      </c>
      <c r="B9" t="str">
        <f>_xlfn.XLOOKUP('Raw Data'!B9,$Q$2:$Q$9,$R$2:$R$9,,1)</f>
        <v>15 - 20</v>
      </c>
      <c r="C9">
        <v>1</v>
      </c>
      <c r="D9" t="str">
        <f>_xlfn.XLOOKUP('Raw Data'!D9,$V$2:$V$5,$W$2:$W$5,,1)</f>
        <v>15 - 19</v>
      </c>
      <c r="E9">
        <v>2000</v>
      </c>
      <c r="F9" t="str">
        <f>_xlfn.XLOOKUP('Raw Data'!F9,$Q$2:$Q$9,$R$2:$R$9,,1)</f>
        <v>20 - 25</v>
      </c>
      <c r="G9">
        <v>492.35</v>
      </c>
      <c r="L9">
        <f t="shared" si="3"/>
        <v>53</v>
      </c>
      <c r="M9">
        <f t="shared" si="0"/>
        <v>58</v>
      </c>
      <c r="N9" t="str">
        <f t="shared" si="4"/>
        <v>53 - 58</v>
      </c>
      <c r="P9">
        <f t="shared" si="5"/>
        <v>35</v>
      </c>
      <c r="Q9">
        <f t="shared" si="1"/>
        <v>40</v>
      </c>
      <c r="R9" t="str">
        <f t="shared" si="6"/>
        <v>35 - 40</v>
      </c>
    </row>
    <row r="10" spans="1:23" x14ac:dyDescent="0.25">
      <c r="A10" t="str">
        <f>_xlfn.XLOOKUP('Raw Data'!A10,$M$2:$M$11,$N$2:$N$11,,1)</f>
        <v>38 - 43</v>
      </c>
      <c r="B10" t="str">
        <f>_xlfn.XLOOKUP('Raw Data'!B10,$Q$2:$Q$9,$R$2:$R$9,,1)</f>
        <v>5 - 10</v>
      </c>
      <c r="C10">
        <v>4</v>
      </c>
      <c r="D10" t="str">
        <f>_xlfn.XLOOKUP('Raw Data'!D10,$V$2:$V$5,$W$2:$W$5,,1)</f>
        <v>11 - 15</v>
      </c>
      <c r="E10">
        <v>2011</v>
      </c>
      <c r="F10" t="str">
        <f>_xlfn.XLOOKUP('Raw Data'!F10,$Q$2:$Q$9,$R$2:$R$9,,1)</f>
        <v>10 - 15</v>
      </c>
      <c r="G10">
        <v>497.1</v>
      </c>
      <c r="L10">
        <f t="shared" si="3"/>
        <v>58</v>
      </c>
      <c r="M10">
        <f t="shared" si="0"/>
        <v>63</v>
      </c>
      <c r="N10" t="str">
        <f t="shared" si="4"/>
        <v>58 - 63</v>
      </c>
    </row>
    <row r="11" spans="1:23" x14ac:dyDescent="0.25">
      <c r="A11" t="str">
        <f>_xlfn.XLOOKUP('Raw Data'!A11,$M$2:$M$11,$N$2:$N$11,,1)</f>
        <v>23 - 28</v>
      </c>
      <c r="B11" t="str">
        <f>_xlfn.XLOOKUP('Raw Data'!B11,$Q$2:$Q$9,$R$2:$R$9,,1)</f>
        <v>5 - 10</v>
      </c>
      <c r="C11">
        <v>5</v>
      </c>
      <c r="D11" t="str">
        <f>_xlfn.XLOOKUP('Raw Data'!D11,$V$2:$V$5,$W$2:$W$5,,1)</f>
        <v>11 - 15</v>
      </c>
      <c r="E11">
        <v>2022</v>
      </c>
      <c r="F11" t="str">
        <f>_xlfn.XLOOKUP('Raw Data'!F11,$Q$2:$Q$9,$R$2:$R$9,,1)</f>
        <v>0 - 5</v>
      </c>
      <c r="G11">
        <v>499.8</v>
      </c>
      <c r="L11">
        <f t="shared" si="3"/>
        <v>63</v>
      </c>
      <c r="M11">
        <f t="shared" si="0"/>
        <v>68</v>
      </c>
      <c r="N11" t="str">
        <f t="shared" si="4"/>
        <v>63 - 68</v>
      </c>
    </row>
    <row r="12" spans="1:23" x14ac:dyDescent="0.25">
      <c r="A12" t="str">
        <f>_xlfn.XLOOKUP('Raw Data'!A12,$M$2:$M$11,$N$2:$N$11,,1)</f>
        <v>23 - 28</v>
      </c>
      <c r="B12" t="str">
        <f>_xlfn.XLOOKUP('Raw Data'!B12,$Q$2:$Q$9,$R$2:$R$9,,1)</f>
        <v>5 - 10</v>
      </c>
      <c r="C12">
        <v>5</v>
      </c>
      <c r="D12" t="str">
        <f>_xlfn.XLOOKUP('Raw Data'!D12,$V$2:$V$5,$W$2:$W$5,,1)</f>
        <v>19 - 23</v>
      </c>
      <c r="E12">
        <v>2025</v>
      </c>
      <c r="F12" t="str">
        <f>_xlfn.XLOOKUP('Raw Data'!F12,$Q$2:$Q$9,$R$2:$R$9,,1)</f>
        <v>0 - 5</v>
      </c>
      <c r="G12">
        <v>499.9</v>
      </c>
    </row>
    <row r="13" spans="1:23" x14ac:dyDescent="0.25">
      <c r="A13" t="str">
        <f>_xlfn.XLOOKUP('Raw Data'!A13,$M$2:$M$11,$N$2:$N$11,,1)</f>
        <v>38 - 43</v>
      </c>
      <c r="B13" t="str">
        <f>_xlfn.XLOOKUP('Raw Data'!B13,$Q$2:$Q$9,$R$2:$R$9,,1)</f>
        <v>0 - 5</v>
      </c>
      <c r="C13">
        <v>3</v>
      </c>
      <c r="D13" t="str">
        <f>_xlfn.XLOOKUP('Raw Data'!D13,$V$2:$V$5,$W$2:$W$5,,1)</f>
        <v>23 - 27</v>
      </c>
      <c r="E13">
        <v>2012</v>
      </c>
      <c r="F13" t="str">
        <f>_xlfn.XLOOKUP('Raw Data'!F13,$Q$2:$Q$9,$R$2:$R$9,,1)</f>
        <v>10 - 15</v>
      </c>
      <c r="G13">
        <v>498.2</v>
      </c>
    </row>
    <row r="14" spans="1:23" x14ac:dyDescent="0.25">
      <c r="A14" t="str">
        <f>_xlfn.XLOOKUP('Raw Data'!A14,$M$2:$M$11,$N$2:$N$11,,1)</f>
        <v>48 - 53</v>
      </c>
      <c r="B14" t="str">
        <f>_xlfn.XLOOKUP('Raw Data'!B14,$Q$2:$Q$9,$R$2:$R$9,,1)</f>
        <v>30 - 35</v>
      </c>
      <c r="C14">
        <v>5</v>
      </c>
      <c r="D14" t="str">
        <f>_xlfn.XLOOKUP('Raw Data'!D14,$V$2:$V$5,$W$2:$W$5,,1)</f>
        <v>23 - 27</v>
      </c>
      <c r="E14">
        <v>2023</v>
      </c>
      <c r="F14" t="str">
        <f>_xlfn.XLOOKUP('Raw Data'!F14,$Q$2:$Q$9,$R$2:$R$9,,1)</f>
        <v>0 - 5</v>
      </c>
      <c r="G14">
        <v>488.7</v>
      </c>
    </row>
    <row r="15" spans="1:23" x14ac:dyDescent="0.25">
      <c r="A15" t="str">
        <f>_xlfn.XLOOKUP('Raw Data'!A15,$M$2:$M$11,$N$2:$N$11,,1)</f>
        <v>53 - 58</v>
      </c>
      <c r="B15" t="str">
        <f>_xlfn.XLOOKUP('Raw Data'!B15,$Q$2:$Q$9,$R$2:$R$9,,1)</f>
        <v>0 - 5</v>
      </c>
      <c r="C15">
        <v>2</v>
      </c>
      <c r="D15" t="str">
        <f>_xlfn.XLOOKUP('Raw Data'!D15,$V$2:$V$5,$W$2:$W$5,,1)</f>
        <v>11 - 15</v>
      </c>
      <c r="E15">
        <v>1998</v>
      </c>
      <c r="F15" t="str">
        <f>_xlfn.XLOOKUP('Raw Data'!F15,$Q$2:$Q$9,$R$2:$R$9,,1)</f>
        <v>25 - 30</v>
      </c>
      <c r="G15">
        <v>493.55</v>
      </c>
    </row>
    <row r="16" spans="1:23" x14ac:dyDescent="0.25">
      <c r="A16" t="str">
        <f>_xlfn.XLOOKUP('Raw Data'!A16,$M$2:$M$11,$N$2:$N$11,,1)</f>
        <v>38 - 43</v>
      </c>
      <c r="B16" t="str">
        <f>_xlfn.XLOOKUP('Raw Data'!B16,$Q$2:$Q$9,$R$2:$R$9,,1)</f>
        <v>5 - 10</v>
      </c>
      <c r="C16">
        <v>5</v>
      </c>
      <c r="D16" t="str">
        <f>_xlfn.XLOOKUP('Raw Data'!D16,$V$2:$V$5,$W$2:$W$5,,1)</f>
        <v>11 - 15</v>
      </c>
      <c r="E16">
        <v>2013</v>
      </c>
      <c r="F16" t="str">
        <f>_xlfn.XLOOKUP('Raw Data'!F16,$Q$2:$Q$9,$R$2:$R$9,,1)</f>
        <v>10 - 15</v>
      </c>
      <c r="G16">
        <v>498.45</v>
      </c>
    </row>
    <row r="17" spans="1:7" x14ac:dyDescent="0.25">
      <c r="A17" t="str">
        <f>_xlfn.XLOOKUP('Raw Data'!A17,$M$2:$M$11,$N$2:$N$11,,1)</f>
        <v>18 - 23</v>
      </c>
      <c r="B17" t="str">
        <f>_xlfn.XLOOKUP('Raw Data'!B17,$Q$2:$Q$9,$R$2:$R$9,,1)</f>
        <v>0 - 5</v>
      </c>
      <c r="C17">
        <v>1</v>
      </c>
      <c r="D17" t="str">
        <f>_xlfn.XLOOKUP('Raw Data'!D17,$V$2:$V$5,$W$2:$W$5,,1)</f>
        <v>19 - 23</v>
      </c>
      <c r="E17">
        <v>1997</v>
      </c>
      <c r="F17" t="str">
        <f>_xlfn.XLOOKUP('Raw Data'!F17,$Q$2:$Q$9,$R$2:$R$9,,1)</f>
        <v>25 - 30</v>
      </c>
      <c r="G17">
        <v>500.85</v>
      </c>
    </row>
    <row r="18" spans="1:7" x14ac:dyDescent="0.25">
      <c r="A18" t="str">
        <f>_xlfn.XLOOKUP('Raw Data'!A18,$M$2:$M$11,$N$2:$N$11,,1)</f>
        <v>38 - 43</v>
      </c>
      <c r="B18" t="str">
        <f>_xlfn.XLOOKUP('Raw Data'!B18,$Q$2:$Q$9,$R$2:$R$9,,1)</f>
        <v>20 - 25</v>
      </c>
      <c r="C18">
        <v>1</v>
      </c>
      <c r="D18" t="str">
        <f>_xlfn.XLOOKUP('Raw Data'!D18,$V$2:$V$5,$W$2:$W$5,,1)</f>
        <v>19 - 23</v>
      </c>
      <c r="E18">
        <v>1996</v>
      </c>
      <c r="F18" t="str">
        <f>_xlfn.XLOOKUP('Raw Data'!F18,$Q$2:$Q$9,$R$2:$R$9,,1)</f>
        <v>25 - 30</v>
      </c>
      <c r="G18">
        <v>491.4</v>
      </c>
    </row>
    <row r="19" spans="1:7" x14ac:dyDescent="0.25">
      <c r="A19" t="str">
        <f>_xlfn.XLOOKUP('Raw Data'!A19,$M$2:$M$11,$N$2:$N$11,,1)</f>
        <v>18 - 23</v>
      </c>
      <c r="B19" t="str">
        <f>_xlfn.XLOOKUP('Raw Data'!B19,$Q$2:$Q$9,$R$2:$R$9,,1)</f>
        <v>0 - 5</v>
      </c>
      <c r="C19">
        <v>4</v>
      </c>
      <c r="D19" t="str">
        <f>_xlfn.XLOOKUP('Raw Data'!D19,$V$2:$V$5,$W$2:$W$5,,1)</f>
        <v>19 - 23</v>
      </c>
      <c r="E19">
        <v>2025</v>
      </c>
      <c r="F19" t="str">
        <f>_xlfn.XLOOKUP('Raw Data'!F19,$Q$2:$Q$9,$R$2:$R$9,,1)</f>
        <v>0 - 5</v>
      </c>
      <c r="G19">
        <v>503.05</v>
      </c>
    </row>
    <row r="20" spans="1:7" x14ac:dyDescent="0.25">
      <c r="A20" t="str">
        <f>_xlfn.XLOOKUP('Raw Data'!A20,$M$2:$M$11,$N$2:$N$11,,1)</f>
        <v>38 - 43</v>
      </c>
      <c r="B20" t="str">
        <f>_xlfn.XLOOKUP('Raw Data'!B20,$Q$2:$Q$9,$R$2:$R$9,,1)</f>
        <v>0 - 5</v>
      </c>
      <c r="C20">
        <v>0</v>
      </c>
      <c r="D20" t="str">
        <f>_xlfn.XLOOKUP('Raw Data'!D20,$V$2:$V$5,$W$2:$W$5,,1)</f>
        <v>15 - 19</v>
      </c>
      <c r="E20">
        <v>2007</v>
      </c>
      <c r="F20" t="str">
        <f>_xlfn.XLOOKUP('Raw Data'!F20,$Q$2:$Q$9,$R$2:$R$9,,1)</f>
        <v>15 - 20</v>
      </c>
      <c r="G20">
        <v>494.25</v>
      </c>
    </row>
    <row r="21" spans="1:7" x14ac:dyDescent="0.25">
      <c r="A21" t="str">
        <f>_xlfn.XLOOKUP('Raw Data'!A21,$M$2:$M$11,$N$2:$N$11,,1)</f>
        <v>58 - 63</v>
      </c>
      <c r="B21" t="str">
        <f>_xlfn.XLOOKUP('Raw Data'!B21,$Q$2:$Q$9,$R$2:$R$9,,1)</f>
        <v>10 - 15</v>
      </c>
      <c r="C21">
        <v>2</v>
      </c>
      <c r="D21" t="str">
        <f>_xlfn.XLOOKUP('Raw Data'!D21,$V$2:$V$5,$W$2:$W$5,,1)</f>
        <v>11 - 15</v>
      </c>
      <c r="E21">
        <v>1992</v>
      </c>
      <c r="F21" t="str">
        <f>_xlfn.XLOOKUP('Raw Data'!F21,$Q$2:$Q$9,$R$2:$R$9,,1)</f>
        <v>30 - 35</v>
      </c>
      <c r="G21">
        <v>491.2</v>
      </c>
    </row>
    <row r="22" spans="1:7" x14ac:dyDescent="0.25">
      <c r="A22" t="str">
        <f>_xlfn.XLOOKUP('Raw Data'!A22,$M$2:$M$11,$N$2:$N$11,,1)</f>
        <v>43 - 48</v>
      </c>
      <c r="B22" t="str">
        <f>_xlfn.XLOOKUP('Raw Data'!B22,$Q$2:$Q$9,$R$2:$R$9,,1)</f>
        <v>25 - 30</v>
      </c>
      <c r="C22">
        <v>4</v>
      </c>
      <c r="D22" t="str">
        <f>_xlfn.XLOOKUP('Raw Data'!D22,$V$2:$V$5,$W$2:$W$5,,1)</f>
        <v>15 - 19</v>
      </c>
      <c r="E22">
        <v>2017</v>
      </c>
      <c r="F22" t="str">
        <f>_xlfn.XLOOKUP('Raw Data'!F22,$Q$2:$Q$9,$R$2:$R$9,,1)</f>
        <v>5 - 10</v>
      </c>
      <c r="G22">
        <v>489.5</v>
      </c>
    </row>
    <row r="23" spans="1:7" x14ac:dyDescent="0.25">
      <c r="A23" t="str">
        <f>_xlfn.XLOOKUP('Raw Data'!A23,$M$2:$M$11,$N$2:$N$11,,1)</f>
        <v>53 - 58</v>
      </c>
      <c r="B23" t="str">
        <f>_xlfn.XLOOKUP('Raw Data'!B23,$Q$2:$Q$9,$R$2:$R$9,,1)</f>
        <v>0 - 5</v>
      </c>
      <c r="C23">
        <v>2</v>
      </c>
      <c r="D23" t="str">
        <f>_xlfn.XLOOKUP('Raw Data'!D23,$V$2:$V$5,$W$2:$W$5,,1)</f>
        <v>11 - 15</v>
      </c>
      <c r="E23">
        <v>1995</v>
      </c>
      <c r="F23" t="str">
        <f>_xlfn.XLOOKUP('Raw Data'!F23,$Q$2:$Q$9,$R$2:$R$9,,1)</f>
        <v>25 - 30</v>
      </c>
      <c r="G23">
        <v>495.3</v>
      </c>
    </row>
    <row r="24" spans="1:7" x14ac:dyDescent="0.25">
      <c r="A24" t="str">
        <f>_xlfn.XLOOKUP('Raw Data'!A24,$M$2:$M$11,$N$2:$N$11,,1)</f>
        <v>18 - 23</v>
      </c>
      <c r="B24" t="str">
        <f>_xlfn.XLOOKUP('Raw Data'!B24,$Q$2:$Q$9,$R$2:$R$9,,1)</f>
        <v>0 - 5</v>
      </c>
      <c r="C24">
        <v>0</v>
      </c>
      <c r="D24" t="str">
        <f>_xlfn.XLOOKUP('Raw Data'!D24,$V$2:$V$5,$W$2:$W$5,,1)</f>
        <v>15 - 19</v>
      </c>
      <c r="E24">
        <v>2010</v>
      </c>
      <c r="F24" t="str">
        <f>_xlfn.XLOOKUP('Raw Data'!F24,$Q$2:$Q$9,$R$2:$R$9,,1)</f>
        <v>10 - 15</v>
      </c>
      <c r="G24">
        <v>498.2</v>
      </c>
    </row>
    <row r="25" spans="1:7" x14ac:dyDescent="0.25">
      <c r="A25" t="str">
        <f>_xlfn.XLOOKUP('Raw Data'!A25,$M$2:$M$11,$N$2:$N$11,,1)</f>
        <v>33 - 38</v>
      </c>
      <c r="B25" t="str">
        <f>_xlfn.XLOOKUP('Raw Data'!B25,$Q$2:$Q$9,$R$2:$R$9,,1)</f>
        <v>0 - 5</v>
      </c>
      <c r="C25">
        <v>5</v>
      </c>
      <c r="D25" t="str">
        <f>_xlfn.XLOOKUP('Raw Data'!D25,$V$2:$V$5,$W$2:$W$5,,1)</f>
        <v>11 - 15</v>
      </c>
      <c r="E25">
        <v>2017</v>
      </c>
      <c r="F25" t="str">
        <f>_xlfn.XLOOKUP('Raw Data'!F25,$Q$2:$Q$9,$R$2:$R$9,,1)</f>
        <v>5 - 10</v>
      </c>
      <c r="G25">
        <v>501.35</v>
      </c>
    </row>
    <row r="26" spans="1:7" x14ac:dyDescent="0.25">
      <c r="A26" t="str">
        <f>_xlfn.XLOOKUP('Raw Data'!A26,$M$2:$M$11,$N$2:$N$11,,1)</f>
        <v>48 - 53</v>
      </c>
      <c r="B26" t="str">
        <f>_xlfn.XLOOKUP('Raw Data'!B26,$Q$2:$Q$9,$R$2:$R$9,,1)</f>
        <v>30 - 35</v>
      </c>
      <c r="C26">
        <v>5</v>
      </c>
      <c r="D26" t="str">
        <f>_xlfn.XLOOKUP('Raw Data'!D26,$V$2:$V$5,$W$2:$W$5,,1)</f>
        <v>19 - 23</v>
      </c>
      <c r="E26">
        <v>1990</v>
      </c>
      <c r="F26" t="str">
        <f>_xlfn.XLOOKUP('Raw Data'!F26,$Q$2:$Q$9,$R$2:$R$9,,1)</f>
        <v>30 - 35</v>
      </c>
      <c r="G26">
        <v>492.5</v>
      </c>
    </row>
    <row r="27" spans="1:7" x14ac:dyDescent="0.25">
      <c r="A27" t="str">
        <f>_xlfn.XLOOKUP('Raw Data'!A27,$M$2:$M$11,$N$2:$N$11,,1)</f>
        <v>28 - 33</v>
      </c>
      <c r="B27" t="str">
        <f>_xlfn.XLOOKUP('Raw Data'!B27,$Q$2:$Q$9,$R$2:$R$9,,1)</f>
        <v>5 - 10</v>
      </c>
      <c r="C27">
        <v>0</v>
      </c>
      <c r="D27" t="str">
        <f>_xlfn.XLOOKUP('Raw Data'!D27,$V$2:$V$5,$W$2:$W$5,,1)</f>
        <v>19 - 23</v>
      </c>
      <c r="E27">
        <v>2025</v>
      </c>
      <c r="F27" t="str">
        <f>_xlfn.XLOOKUP('Raw Data'!F27,$Q$2:$Q$9,$R$2:$R$9,,1)</f>
        <v>0 - 5</v>
      </c>
      <c r="G27">
        <v>492.9</v>
      </c>
    </row>
    <row r="28" spans="1:7" x14ac:dyDescent="0.25">
      <c r="A28" t="str">
        <f>_xlfn.XLOOKUP('Raw Data'!A28,$M$2:$M$11,$N$2:$N$11,,1)</f>
        <v>38 - 43</v>
      </c>
      <c r="B28" t="str">
        <f>_xlfn.XLOOKUP('Raw Data'!B28,$Q$2:$Q$9,$R$2:$R$9,,1)</f>
        <v>15 - 20</v>
      </c>
      <c r="C28">
        <v>4</v>
      </c>
      <c r="D28" t="str">
        <f>_xlfn.XLOOKUP('Raw Data'!D28,$V$2:$V$5,$W$2:$W$5,,1)</f>
        <v>15 - 19</v>
      </c>
      <c r="E28">
        <v>2010</v>
      </c>
      <c r="F28" t="str">
        <f>_xlfn.XLOOKUP('Raw Data'!F28,$Q$2:$Q$9,$R$2:$R$9,,1)</f>
        <v>10 - 15</v>
      </c>
      <c r="G28">
        <v>495.85</v>
      </c>
    </row>
    <row r="29" spans="1:7" x14ac:dyDescent="0.25">
      <c r="A29" t="str">
        <f>_xlfn.XLOOKUP('Raw Data'!A29,$M$2:$M$11,$N$2:$N$11,,1)</f>
        <v>58 - 63</v>
      </c>
      <c r="B29" t="str">
        <f>_xlfn.XLOOKUP('Raw Data'!B29,$Q$2:$Q$9,$R$2:$R$9,,1)</f>
        <v>5 - 10</v>
      </c>
      <c r="C29">
        <v>0</v>
      </c>
      <c r="D29" t="str">
        <f>_xlfn.XLOOKUP('Raw Data'!D29,$V$2:$V$5,$W$2:$W$5,,1)</f>
        <v>19 - 23</v>
      </c>
      <c r="E29">
        <v>2024</v>
      </c>
      <c r="F29" t="str">
        <f>_xlfn.XLOOKUP('Raw Data'!F29,$Q$2:$Q$9,$R$2:$R$9,,1)</f>
        <v>0 - 5</v>
      </c>
      <c r="G29">
        <v>486.55</v>
      </c>
    </row>
    <row r="30" spans="1:7" x14ac:dyDescent="0.25">
      <c r="A30" t="str">
        <f>_xlfn.XLOOKUP('Raw Data'!A30,$M$2:$M$11,$N$2:$N$11,,1)</f>
        <v>38 - 43</v>
      </c>
      <c r="B30" t="str">
        <f>_xlfn.XLOOKUP('Raw Data'!B30,$Q$2:$Q$9,$R$2:$R$9,,1)</f>
        <v>5 - 10</v>
      </c>
      <c r="C30">
        <v>3</v>
      </c>
      <c r="D30" t="str">
        <f>_xlfn.XLOOKUP('Raw Data'!D30,$V$2:$V$5,$W$2:$W$5,,1)</f>
        <v>11 - 15</v>
      </c>
      <c r="E30">
        <v>2002</v>
      </c>
      <c r="F30" t="str">
        <f>_xlfn.XLOOKUP('Raw Data'!F30,$Q$2:$Q$9,$R$2:$R$9,,1)</f>
        <v>20 - 25</v>
      </c>
      <c r="G30">
        <v>496</v>
      </c>
    </row>
    <row r="31" spans="1:7" x14ac:dyDescent="0.25">
      <c r="A31" t="str">
        <f>_xlfn.XLOOKUP('Raw Data'!A31,$M$2:$M$11,$N$2:$N$11,,1)</f>
        <v>43 - 48</v>
      </c>
      <c r="B31" t="str">
        <f>_xlfn.XLOOKUP('Raw Data'!B31,$Q$2:$Q$9,$R$2:$R$9,,1)</f>
        <v>10 - 15</v>
      </c>
      <c r="C31">
        <v>1</v>
      </c>
      <c r="D31" t="str">
        <f>_xlfn.XLOOKUP('Raw Data'!D31,$V$2:$V$5,$W$2:$W$5,,1)</f>
        <v>23 - 27</v>
      </c>
      <c r="E31">
        <v>1999</v>
      </c>
      <c r="F31" t="str">
        <f>_xlfn.XLOOKUP('Raw Data'!F31,$Q$2:$Q$9,$R$2:$R$9,,1)</f>
        <v>25 - 30</v>
      </c>
      <c r="G31">
        <v>492.35</v>
      </c>
    </row>
    <row r="32" spans="1:7" x14ac:dyDescent="0.25">
      <c r="A32" t="str">
        <f>_xlfn.XLOOKUP('Raw Data'!A32,$M$2:$M$11,$N$2:$N$11,,1)</f>
        <v>58 - 63</v>
      </c>
      <c r="B32" t="str">
        <f>_xlfn.XLOOKUP('Raw Data'!B32,$Q$2:$Q$9,$R$2:$R$9,,1)</f>
        <v>20 - 25</v>
      </c>
      <c r="C32">
        <v>4</v>
      </c>
      <c r="D32" t="str">
        <f>_xlfn.XLOOKUP('Raw Data'!D32,$V$2:$V$5,$W$2:$W$5,,1)</f>
        <v>19 - 23</v>
      </c>
      <c r="E32">
        <v>1999</v>
      </c>
      <c r="F32" t="str">
        <f>_xlfn.XLOOKUP('Raw Data'!F32,$Q$2:$Q$9,$R$2:$R$9,,1)</f>
        <v>25 - 30</v>
      </c>
      <c r="G32">
        <v>491</v>
      </c>
    </row>
    <row r="33" spans="1:7" x14ac:dyDescent="0.25">
      <c r="A33" t="str">
        <f>_xlfn.XLOOKUP('Raw Data'!A33,$M$2:$M$11,$N$2:$N$11,,1)</f>
        <v>43 - 48</v>
      </c>
      <c r="B33" t="str">
        <f>_xlfn.XLOOKUP('Raw Data'!B33,$Q$2:$Q$9,$R$2:$R$9,,1)</f>
        <v>25 - 30</v>
      </c>
      <c r="C33">
        <v>2</v>
      </c>
      <c r="D33" t="str">
        <f>_xlfn.XLOOKUP('Raw Data'!D33,$V$2:$V$5,$W$2:$W$5,,1)</f>
        <v>19 - 23</v>
      </c>
      <c r="E33">
        <v>2002</v>
      </c>
      <c r="F33" t="str">
        <f>_xlfn.XLOOKUP('Raw Data'!F33,$Q$2:$Q$9,$R$2:$R$9,,1)</f>
        <v>20 - 25</v>
      </c>
      <c r="G33">
        <v>489.3</v>
      </c>
    </row>
    <row r="34" spans="1:7" x14ac:dyDescent="0.25">
      <c r="A34" t="str">
        <f>_xlfn.XLOOKUP('Raw Data'!A34,$M$2:$M$11,$N$2:$N$11,,1)</f>
        <v>28 - 33</v>
      </c>
      <c r="B34" t="str">
        <f>_xlfn.XLOOKUP('Raw Data'!B34,$Q$2:$Q$9,$R$2:$R$9,,1)</f>
        <v>10 - 15</v>
      </c>
      <c r="C34">
        <v>3</v>
      </c>
      <c r="D34" t="str">
        <f>_xlfn.XLOOKUP('Raw Data'!D34,$V$2:$V$5,$W$2:$W$5,,1)</f>
        <v>15 - 19</v>
      </c>
      <c r="E34">
        <v>2013</v>
      </c>
      <c r="F34" t="str">
        <f>_xlfn.XLOOKUP('Raw Data'!F34,$Q$2:$Q$9,$R$2:$R$9,,1)</f>
        <v>10 - 15</v>
      </c>
      <c r="G34">
        <v>495.55</v>
      </c>
    </row>
    <row r="35" spans="1:7" x14ac:dyDescent="0.25">
      <c r="A35" t="str">
        <f>_xlfn.XLOOKUP('Raw Data'!A35,$M$2:$M$11,$N$2:$N$11,,1)</f>
        <v>28 - 33</v>
      </c>
      <c r="B35" t="str">
        <f>_xlfn.XLOOKUP('Raw Data'!B35,$Q$2:$Q$9,$R$2:$R$9,,1)</f>
        <v>10 - 15</v>
      </c>
      <c r="C35">
        <v>4</v>
      </c>
      <c r="D35" t="str">
        <f>_xlfn.XLOOKUP('Raw Data'!D35,$V$2:$V$5,$W$2:$W$5,,1)</f>
        <v>11 - 15</v>
      </c>
      <c r="E35">
        <v>1991</v>
      </c>
      <c r="F35" t="str">
        <f>_xlfn.XLOOKUP('Raw Data'!F35,$Q$2:$Q$9,$R$2:$R$9,,1)</f>
        <v>30 - 35</v>
      </c>
      <c r="G35">
        <v>499.55</v>
      </c>
    </row>
    <row r="36" spans="1:7" x14ac:dyDescent="0.25">
      <c r="A36" t="str">
        <f>_xlfn.XLOOKUP('Raw Data'!A36,$M$2:$M$11,$N$2:$N$11,,1)</f>
        <v>63 - 68</v>
      </c>
      <c r="B36" t="str">
        <f>_xlfn.XLOOKUP('Raw Data'!B36,$Q$2:$Q$9,$R$2:$R$9,,1)</f>
        <v>25 - 30</v>
      </c>
      <c r="C36">
        <v>0</v>
      </c>
      <c r="D36" t="str">
        <f>_xlfn.XLOOKUP('Raw Data'!D36,$V$2:$V$5,$W$2:$W$5,,1)</f>
        <v>15 - 19</v>
      </c>
      <c r="E36">
        <v>2011</v>
      </c>
      <c r="F36" t="str">
        <f>_xlfn.XLOOKUP('Raw Data'!F36,$Q$2:$Q$9,$R$2:$R$9,,1)</f>
        <v>10 - 15</v>
      </c>
      <c r="G36">
        <v>480.5</v>
      </c>
    </row>
    <row r="37" spans="1:7" x14ac:dyDescent="0.25">
      <c r="A37" t="str">
        <f>_xlfn.XLOOKUP('Raw Data'!A37,$M$2:$M$11,$N$2:$N$11,,1)</f>
        <v>58 - 63</v>
      </c>
      <c r="B37" t="str">
        <f>_xlfn.XLOOKUP('Raw Data'!B37,$Q$2:$Q$9,$R$2:$R$9,,1)</f>
        <v>0 - 5</v>
      </c>
      <c r="C37">
        <v>0</v>
      </c>
      <c r="D37" t="str">
        <f>_xlfn.XLOOKUP('Raw Data'!D37,$V$2:$V$5,$W$2:$W$5,,1)</f>
        <v>11 - 15</v>
      </c>
      <c r="E37">
        <v>2006</v>
      </c>
      <c r="F37" t="str">
        <f>_xlfn.XLOOKUP('Raw Data'!F37,$Q$2:$Q$9,$R$2:$R$9,,1)</f>
        <v>15 - 20</v>
      </c>
      <c r="G37">
        <v>489.1</v>
      </c>
    </row>
    <row r="38" spans="1:7" x14ac:dyDescent="0.25">
      <c r="A38" t="str">
        <f>_xlfn.XLOOKUP('Raw Data'!A38,$M$2:$M$11,$N$2:$N$11,,1)</f>
        <v>18 - 23</v>
      </c>
      <c r="B38" t="str">
        <f>_xlfn.XLOOKUP('Raw Data'!B38,$Q$2:$Q$9,$R$2:$R$9,,1)</f>
        <v>0 - 5</v>
      </c>
      <c r="C38">
        <v>0</v>
      </c>
      <c r="D38" t="str">
        <f>_xlfn.XLOOKUP('Raw Data'!D38,$V$2:$V$5,$W$2:$W$5,,1)</f>
        <v>15 - 19</v>
      </c>
      <c r="E38">
        <v>2025</v>
      </c>
      <c r="F38" t="str">
        <f>_xlfn.XLOOKUP('Raw Data'!F38,$Q$2:$Q$9,$R$2:$R$9,,1)</f>
        <v>0 - 5</v>
      </c>
      <c r="G38">
        <v>496.2</v>
      </c>
    </row>
    <row r="39" spans="1:7" x14ac:dyDescent="0.25">
      <c r="A39" t="str">
        <f>_xlfn.XLOOKUP('Raw Data'!A39,$M$2:$M$11,$N$2:$N$11,,1)</f>
        <v>53 - 58</v>
      </c>
      <c r="B39" t="str">
        <f>_xlfn.XLOOKUP('Raw Data'!B39,$Q$2:$Q$9,$R$2:$R$9,,1)</f>
        <v>5 - 10</v>
      </c>
      <c r="C39">
        <v>0</v>
      </c>
      <c r="D39" t="str">
        <f>_xlfn.XLOOKUP('Raw Data'!D39,$V$2:$V$5,$W$2:$W$5,,1)</f>
        <v>11 - 15</v>
      </c>
      <c r="E39">
        <v>2003</v>
      </c>
      <c r="F39" t="str">
        <f>_xlfn.XLOOKUP('Raw Data'!F39,$Q$2:$Q$9,$R$2:$R$9,,1)</f>
        <v>20 - 25</v>
      </c>
      <c r="G39">
        <v>489.05</v>
      </c>
    </row>
    <row r="40" spans="1:7" x14ac:dyDescent="0.25">
      <c r="A40" t="str">
        <f>_xlfn.XLOOKUP('Raw Data'!A40,$M$2:$M$11,$N$2:$N$11,,1)</f>
        <v>23 - 28</v>
      </c>
      <c r="B40" t="str">
        <f>_xlfn.XLOOKUP('Raw Data'!B40,$Q$2:$Q$9,$R$2:$R$9,,1)</f>
        <v>5 - 10</v>
      </c>
      <c r="C40">
        <v>2</v>
      </c>
      <c r="D40" t="str">
        <f>_xlfn.XLOOKUP('Raw Data'!D40,$V$2:$V$5,$W$2:$W$5,,1)</f>
        <v>19 - 23</v>
      </c>
      <c r="E40">
        <v>1999</v>
      </c>
      <c r="F40" t="str">
        <f>_xlfn.XLOOKUP('Raw Data'!F40,$Q$2:$Q$9,$R$2:$R$9,,1)</f>
        <v>25 - 30</v>
      </c>
      <c r="G40">
        <v>500.1</v>
      </c>
    </row>
    <row r="41" spans="1:7" x14ac:dyDescent="0.25">
      <c r="A41" t="str">
        <f>_xlfn.XLOOKUP('Raw Data'!A41,$M$2:$M$11,$N$2:$N$11,,1)</f>
        <v>33 - 38</v>
      </c>
      <c r="B41" t="str">
        <f>_xlfn.XLOOKUP('Raw Data'!B41,$Q$2:$Q$9,$R$2:$R$9,,1)</f>
        <v>15 - 20</v>
      </c>
      <c r="C41">
        <v>3</v>
      </c>
      <c r="D41" t="str">
        <f>_xlfn.XLOOKUP('Raw Data'!D41,$V$2:$V$5,$W$2:$W$5,,1)</f>
        <v>19 - 23</v>
      </c>
      <c r="E41">
        <v>2024</v>
      </c>
      <c r="F41" t="str">
        <f>_xlfn.XLOOKUP('Raw Data'!F41,$Q$2:$Q$9,$R$2:$R$9,,1)</f>
        <v>0 - 5</v>
      </c>
      <c r="G41">
        <v>492.1</v>
      </c>
    </row>
    <row r="42" spans="1:7" x14ac:dyDescent="0.25">
      <c r="A42" t="str">
        <f>_xlfn.XLOOKUP('Raw Data'!A42,$M$2:$M$11,$N$2:$N$11,,1)</f>
        <v>23 - 28</v>
      </c>
      <c r="B42" t="str">
        <f>_xlfn.XLOOKUP('Raw Data'!B42,$Q$2:$Q$9,$R$2:$R$9,,1)</f>
        <v>5 - 10</v>
      </c>
      <c r="C42">
        <v>5</v>
      </c>
      <c r="D42" t="str">
        <f>_xlfn.XLOOKUP('Raw Data'!D42,$V$2:$V$5,$W$2:$W$5,,1)</f>
        <v>23 - 27</v>
      </c>
      <c r="E42">
        <v>2014</v>
      </c>
      <c r="F42" t="str">
        <f>_xlfn.XLOOKUP('Raw Data'!F42,$Q$2:$Q$9,$R$2:$R$9,,1)</f>
        <v>10 - 15</v>
      </c>
      <c r="G42">
        <v>502.2</v>
      </c>
    </row>
    <row r="43" spans="1:7" x14ac:dyDescent="0.25">
      <c r="A43" t="str">
        <f>_xlfn.XLOOKUP('Raw Data'!A43,$M$2:$M$11,$N$2:$N$11,,1)</f>
        <v>53 - 58</v>
      </c>
      <c r="B43" t="str">
        <f>_xlfn.XLOOKUP('Raw Data'!B43,$Q$2:$Q$9,$R$2:$R$9,,1)</f>
        <v>30 - 35</v>
      </c>
      <c r="C43">
        <v>1</v>
      </c>
      <c r="D43" t="str">
        <f>_xlfn.XLOOKUP('Raw Data'!D43,$V$2:$V$5,$W$2:$W$5,,1)</f>
        <v>19 - 23</v>
      </c>
      <c r="E43">
        <v>1992</v>
      </c>
      <c r="F43" t="str">
        <f>_xlfn.XLOOKUP('Raw Data'!F43,$Q$2:$Q$9,$R$2:$R$9,,1)</f>
        <v>30 - 35</v>
      </c>
      <c r="G43">
        <v>484.4</v>
      </c>
    </row>
    <row r="44" spans="1:7" x14ac:dyDescent="0.25">
      <c r="A44" t="str">
        <f>_xlfn.XLOOKUP('Raw Data'!A44,$M$2:$M$11,$N$2:$N$11,,1)</f>
        <v>33 - 38</v>
      </c>
      <c r="B44" t="str">
        <f>_xlfn.XLOOKUP('Raw Data'!B44,$Q$2:$Q$9,$R$2:$R$9,,1)</f>
        <v>15 - 20</v>
      </c>
      <c r="C44">
        <v>2</v>
      </c>
      <c r="D44" t="str">
        <f>_xlfn.XLOOKUP('Raw Data'!D44,$V$2:$V$5,$W$2:$W$5,,1)</f>
        <v>11 - 15</v>
      </c>
      <c r="E44">
        <v>2006</v>
      </c>
      <c r="F44" t="str">
        <f>_xlfn.XLOOKUP('Raw Data'!F44,$Q$2:$Q$9,$R$2:$R$9,,1)</f>
        <v>15 - 20</v>
      </c>
      <c r="G44">
        <v>493.55</v>
      </c>
    </row>
    <row r="45" spans="1:7" x14ac:dyDescent="0.25">
      <c r="A45" t="str">
        <f>_xlfn.XLOOKUP('Raw Data'!A45,$M$2:$M$11,$N$2:$N$11,,1)</f>
        <v>18 - 23</v>
      </c>
      <c r="B45" t="str">
        <f>_xlfn.XLOOKUP('Raw Data'!B45,$Q$2:$Q$9,$R$2:$R$9,,1)</f>
        <v>0 - 5</v>
      </c>
      <c r="C45">
        <v>2</v>
      </c>
      <c r="D45" t="str">
        <f>_xlfn.XLOOKUP('Raw Data'!D45,$V$2:$V$5,$W$2:$W$5,,1)</f>
        <v>19 - 23</v>
      </c>
      <c r="E45">
        <v>2001</v>
      </c>
      <c r="F45" t="str">
        <f>_xlfn.XLOOKUP('Raw Data'!F45,$Q$2:$Q$9,$R$2:$R$9,,1)</f>
        <v>20 - 25</v>
      </c>
      <c r="G45">
        <v>502.3</v>
      </c>
    </row>
    <row r="46" spans="1:7" x14ac:dyDescent="0.25">
      <c r="A46" t="str">
        <f>_xlfn.XLOOKUP('Raw Data'!A46,$M$2:$M$11,$N$2:$N$11,,1)</f>
        <v>38 - 43</v>
      </c>
      <c r="B46" t="str">
        <f>_xlfn.XLOOKUP('Raw Data'!B46,$Q$2:$Q$9,$R$2:$R$9,,1)</f>
        <v>20 - 25</v>
      </c>
      <c r="C46">
        <v>5</v>
      </c>
      <c r="D46" t="str">
        <f>_xlfn.XLOOKUP('Raw Data'!D46,$V$2:$V$5,$W$2:$W$5,,1)</f>
        <v>15 - 19</v>
      </c>
      <c r="E46">
        <v>2013</v>
      </c>
      <c r="F46" t="str">
        <f>_xlfn.XLOOKUP('Raw Data'!F46,$Q$2:$Q$9,$R$2:$R$9,,1)</f>
        <v>10 - 15</v>
      </c>
      <c r="G46">
        <v>494</v>
      </c>
    </row>
    <row r="47" spans="1:7" x14ac:dyDescent="0.25">
      <c r="A47" t="str">
        <f>_xlfn.XLOOKUP('Raw Data'!A47,$M$2:$M$11,$N$2:$N$11,,1)</f>
        <v>28 - 33</v>
      </c>
      <c r="B47" t="str">
        <f>_xlfn.XLOOKUP('Raw Data'!B47,$Q$2:$Q$9,$R$2:$R$9,,1)</f>
        <v>10 - 15</v>
      </c>
      <c r="C47">
        <v>5</v>
      </c>
      <c r="D47" t="str">
        <f>_xlfn.XLOOKUP('Raw Data'!D47,$V$2:$V$5,$W$2:$W$5,,1)</f>
        <v>19 - 23</v>
      </c>
      <c r="E47">
        <v>2018</v>
      </c>
      <c r="F47" t="str">
        <f>_xlfn.XLOOKUP('Raw Data'!F47,$Q$2:$Q$9,$R$2:$R$9,,1)</f>
        <v>5 - 10</v>
      </c>
      <c r="G47">
        <v>499.1</v>
      </c>
    </row>
    <row r="48" spans="1:7" x14ac:dyDescent="0.25">
      <c r="A48" t="str">
        <f>_xlfn.XLOOKUP('Raw Data'!A48,$M$2:$M$11,$N$2:$N$11,,1)</f>
        <v>23 - 28</v>
      </c>
      <c r="B48" t="str">
        <f>_xlfn.XLOOKUP('Raw Data'!B48,$Q$2:$Q$9,$R$2:$R$9,,1)</f>
        <v>5 - 10</v>
      </c>
      <c r="C48">
        <v>1</v>
      </c>
      <c r="D48" t="str">
        <f>_xlfn.XLOOKUP('Raw Data'!D48,$V$2:$V$5,$W$2:$W$5,,1)</f>
        <v>23 - 27</v>
      </c>
      <c r="E48">
        <v>2014</v>
      </c>
      <c r="F48" t="str">
        <f>_xlfn.XLOOKUP('Raw Data'!F48,$Q$2:$Q$9,$R$2:$R$9,,1)</f>
        <v>10 - 15</v>
      </c>
      <c r="G48">
        <v>496.2</v>
      </c>
    </row>
    <row r="49" spans="1:7" x14ac:dyDescent="0.25">
      <c r="A49" t="str">
        <f>_xlfn.XLOOKUP('Raw Data'!A49,$M$2:$M$11,$N$2:$N$11,,1)</f>
        <v>38 - 43</v>
      </c>
      <c r="B49" t="str">
        <f>_xlfn.XLOOKUP('Raw Data'!B49,$Q$2:$Q$9,$R$2:$R$9,,1)</f>
        <v>5 - 10</v>
      </c>
      <c r="C49">
        <v>1</v>
      </c>
      <c r="D49" t="str">
        <f>_xlfn.XLOOKUP('Raw Data'!D49,$V$2:$V$5,$W$2:$W$5,,1)</f>
        <v>11 - 15</v>
      </c>
      <c r="E49">
        <v>2025</v>
      </c>
      <c r="F49" t="str">
        <f>_xlfn.XLOOKUP('Raw Data'!F49,$Q$2:$Q$9,$R$2:$R$9,,1)</f>
        <v>0 - 5</v>
      </c>
      <c r="G49">
        <v>491.35</v>
      </c>
    </row>
    <row r="50" spans="1:7" x14ac:dyDescent="0.25">
      <c r="A50" t="str">
        <f>_xlfn.XLOOKUP('Raw Data'!A50,$M$2:$M$11,$N$2:$N$11,,1)</f>
        <v>18 - 23</v>
      </c>
      <c r="B50" t="str">
        <f>_xlfn.XLOOKUP('Raw Data'!B50,$Q$2:$Q$9,$R$2:$R$9,,1)</f>
        <v>0 - 5</v>
      </c>
      <c r="C50">
        <v>5</v>
      </c>
      <c r="D50" t="str">
        <f>_xlfn.XLOOKUP('Raw Data'!D50,$V$2:$V$5,$W$2:$W$5,,1)</f>
        <v>11 - 15</v>
      </c>
      <c r="E50">
        <v>2015</v>
      </c>
      <c r="F50" t="str">
        <f>_xlfn.XLOOKUP('Raw Data'!F50,$Q$2:$Q$9,$R$2:$R$9,,1)</f>
        <v>5 - 10</v>
      </c>
      <c r="G50">
        <v>505.15</v>
      </c>
    </row>
    <row r="51" spans="1:7" x14ac:dyDescent="0.25">
      <c r="A51" t="str">
        <f>_xlfn.XLOOKUP('Raw Data'!A51,$M$2:$M$11,$N$2:$N$11,,1)</f>
        <v>33 - 38</v>
      </c>
      <c r="B51" t="str">
        <f>_xlfn.XLOOKUP('Raw Data'!B51,$Q$2:$Q$9,$R$2:$R$9,,1)</f>
        <v>15 - 20</v>
      </c>
      <c r="C51">
        <v>0</v>
      </c>
      <c r="D51" t="str">
        <f>_xlfn.XLOOKUP('Raw Data'!D51,$V$2:$V$5,$W$2:$W$5,,1)</f>
        <v>11 - 15</v>
      </c>
      <c r="E51">
        <v>1990</v>
      </c>
      <c r="F51" t="str">
        <f>_xlfn.XLOOKUP('Raw Data'!F51,$Q$2:$Q$9,$R$2:$R$9,,1)</f>
        <v>30 - 35</v>
      </c>
      <c r="G51">
        <v>491.05</v>
      </c>
    </row>
    <row r="52" spans="1:7" x14ac:dyDescent="0.25">
      <c r="A52" t="str">
        <f>_xlfn.XLOOKUP('Raw Data'!A52,$M$2:$M$11,$N$2:$N$11,,1)</f>
        <v>43 - 48</v>
      </c>
      <c r="B52" t="str">
        <f>_xlfn.XLOOKUP('Raw Data'!B52,$Q$2:$Q$9,$R$2:$R$9,,1)</f>
        <v>25 - 30</v>
      </c>
      <c r="C52">
        <v>2</v>
      </c>
      <c r="D52" t="str">
        <f>_xlfn.XLOOKUP('Raw Data'!D52,$V$2:$V$5,$W$2:$W$5,,1)</f>
        <v>11 - 15</v>
      </c>
      <c r="E52">
        <v>2009</v>
      </c>
      <c r="F52" t="str">
        <f>_xlfn.XLOOKUP('Raw Data'!F52,$Q$2:$Q$9,$R$2:$R$9,,1)</f>
        <v>15 - 20</v>
      </c>
      <c r="G52">
        <v>488.2</v>
      </c>
    </row>
    <row r="53" spans="1:7" x14ac:dyDescent="0.25">
      <c r="A53" t="str">
        <f>_xlfn.XLOOKUP('Raw Data'!A53,$M$2:$M$11,$N$2:$N$11,,1)</f>
        <v>63 - 68</v>
      </c>
      <c r="B53" t="str">
        <f>_xlfn.XLOOKUP('Raw Data'!B53,$Q$2:$Q$9,$R$2:$R$9,,1)</f>
        <v>10 - 15</v>
      </c>
      <c r="C53">
        <v>4</v>
      </c>
      <c r="D53" t="str">
        <f>_xlfn.XLOOKUP('Raw Data'!D53,$V$2:$V$5,$W$2:$W$5,,1)</f>
        <v>11 - 15</v>
      </c>
      <c r="E53">
        <v>2017</v>
      </c>
      <c r="F53" t="str">
        <f>_xlfn.XLOOKUP('Raw Data'!F53,$Q$2:$Q$9,$R$2:$R$9,,1)</f>
        <v>5 - 10</v>
      </c>
      <c r="G53">
        <v>490.7</v>
      </c>
    </row>
    <row r="54" spans="1:7" x14ac:dyDescent="0.25">
      <c r="A54" t="str">
        <f>_xlfn.XLOOKUP('Raw Data'!A54,$M$2:$M$11,$N$2:$N$11,,1)</f>
        <v>23 - 28</v>
      </c>
      <c r="B54" t="str">
        <f>_xlfn.XLOOKUP('Raw Data'!B54,$Q$2:$Q$9,$R$2:$R$9,,1)</f>
        <v>5 - 10</v>
      </c>
      <c r="C54">
        <v>1</v>
      </c>
      <c r="D54" t="str">
        <f>_xlfn.XLOOKUP('Raw Data'!D54,$V$2:$V$5,$W$2:$W$5,,1)</f>
        <v>15 - 19</v>
      </c>
      <c r="E54">
        <v>2005</v>
      </c>
      <c r="F54" t="str">
        <f>_xlfn.XLOOKUP('Raw Data'!F54,$Q$2:$Q$9,$R$2:$R$9,,1)</f>
        <v>15 - 20</v>
      </c>
      <c r="G54">
        <v>497.85</v>
      </c>
    </row>
    <row r="55" spans="1:7" x14ac:dyDescent="0.25">
      <c r="A55" t="str">
        <f>_xlfn.XLOOKUP('Raw Data'!A55,$M$2:$M$11,$N$2:$N$11,,1)</f>
        <v>58 - 63</v>
      </c>
      <c r="B55" t="str">
        <f>_xlfn.XLOOKUP('Raw Data'!B55,$Q$2:$Q$9,$R$2:$R$9,,1)</f>
        <v>30 - 35</v>
      </c>
      <c r="C55">
        <v>1</v>
      </c>
      <c r="D55" t="str">
        <f>_xlfn.XLOOKUP('Raw Data'!D55,$V$2:$V$5,$W$2:$W$5,,1)</f>
        <v>11 - 15</v>
      </c>
      <c r="E55">
        <v>2006</v>
      </c>
      <c r="F55" t="str">
        <f>_xlfn.XLOOKUP('Raw Data'!F55,$Q$2:$Q$9,$R$2:$R$9,,1)</f>
        <v>15 - 20</v>
      </c>
      <c r="G55">
        <v>481.65</v>
      </c>
    </row>
    <row r="56" spans="1:7" x14ac:dyDescent="0.25">
      <c r="A56" t="str">
        <f>_xlfn.XLOOKUP('Raw Data'!A56,$M$2:$M$11,$N$2:$N$11,,1)</f>
        <v>23 - 28</v>
      </c>
      <c r="B56" t="str">
        <f>_xlfn.XLOOKUP('Raw Data'!B56,$Q$2:$Q$9,$R$2:$R$9,,1)</f>
        <v>5 - 10</v>
      </c>
      <c r="C56">
        <v>5</v>
      </c>
      <c r="D56" t="str">
        <f>_xlfn.XLOOKUP('Raw Data'!D56,$V$2:$V$5,$W$2:$W$5,,1)</f>
        <v>23 - 27</v>
      </c>
      <c r="E56">
        <v>2017</v>
      </c>
      <c r="F56" t="str">
        <f>_xlfn.XLOOKUP('Raw Data'!F56,$Q$2:$Q$9,$R$2:$R$9,,1)</f>
        <v>5 - 10</v>
      </c>
      <c r="G56">
        <v>502.45</v>
      </c>
    </row>
    <row r="57" spans="1:7" x14ac:dyDescent="0.25">
      <c r="A57" t="str">
        <f>_xlfn.XLOOKUP('Raw Data'!A57,$M$2:$M$11,$N$2:$N$11,,1)</f>
        <v>63 - 68</v>
      </c>
      <c r="B57" t="str">
        <f>_xlfn.XLOOKUP('Raw Data'!B57,$Q$2:$Q$9,$R$2:$R$9,,1)</f>
        <v>35 - 40</v>
      </c>
      <c r="C57">
        <v>3</v>
      </c>
      <c r="D57" t="str">
        <f>_xlfn.XLOOKUP('Raw Data'!D57,$V$2:$V$5,$W$2:$W$5,,1)</f>
        <v>11 - 15</v>
      </c>
      <c r="E57">
        <v>2001</v>
      </c>
      <c r="F57" t="str">
        <f>_xlfn.XLOOKUP('Raw Data'!F57,$Q$2:$Q$9,$R$2:$R$9,,1)</f>
        <v>20 - 25</v>
      </c>
      <c r="G57">
        <v>483.9</v>
      </c>
    </row>
    <row r="58" spans="1:7" x14ac:dyDescent="0.25">
      <c r="A58" t="str">
        <f>_xlfn.XLOOKUP('Raw Data'!A58,$M$2:$M$11,$N$2:$N$11,,1)</f>
        <v>48 - 53</v>
      </c>
      <c r="B58" t="str">
        <f>_xlfn.XLOOKUP('Raw Data'!B58,$Q$2:$Q$9,$R$2:$R$9,,1)</f>
        <v>0 - 5</v>
      </c>
      <c r="C58">
        <v>4</v>
      </c>
      <c r="D58" t="str">
        <f>_xlfn.XLOOKUP('Raw Data'!D58,$V$2:$V$5,$W$2:$W$5,,1)</f>
        <v>19 - 23</v>
      </c>
      <c r="E58">
        <v>2016</v>
      </c>
      <c r="F58" t="str">
        <f>_xlfn.XLOOKUP('Raw Data'!F58,$Q$2:$Q$9,$R$2:$R$9,,1)</f>
        <v>5 - 10</v>
      </c>
      <c r="G58">
        <v>496.3</v>
      </c>
    </row>
    <row r="59" spans="1:7" x14ac:dyDescent="0.25">
      <c r="A59" t="str">
        <f>_xlfn.XLOOKUP('Raw Data'!A59,$M$2:$M$11,$N$2:$N$11,,1)</f>
        <v>28 - 33</v>
      </c>
      <c r="B59" t="str">
        <f>_xlfn.XLOOKUP('Raw Data'!B59,$Q$2:$Q$9,$R$2:$R$9,,1)</f>
        <v>10 - 15</v>
      </c>
      <c r="C59">
        <v>4</v>
      </c>
      <c r="D59" t="str">
        <f>_xlfn.XLOOKUP('Raw Data'!D59,$V$2:$V$5,$W$2:$W$5,,1)</f>
        <v>19 - 23</v>
      </c>
      <c r="E59">
        <v>2019</v>
      </c>
      <c r="F59" t="str">
        <f>_xlfn.XLOOKUP('Raw Data'!F59,$Q$2:$Q$9,$R$2:$R$9,,1)</f>
        <v>5 - 10</v>
      </c>
      <c r="G59">
        <v>497.55</v>
      </c>
    </row>
    <row r="60" spans="1:7" x14ac:dyDescent="0.25">
      <c r="A60" t="str">
        <f>_xlfn.XLOOKUP('Raw Data'!A60,$M$2:$M$11,$N$2:$N$11,,1)</f>
        <v>33 - 38</v>
      </c>
      <c r="B60" t="str">
        <f>_xlfn.XLOOKUP('Raw Data'!B60,$Q$2:$Q$9,$R$2:$R$9,,1)</f>
        <v>10 - 15</v>
      </c>
      <c r="C60">
        <v>1</v>
      </c>
      <c r="D60" t="str">
        <f>_xlfn.XLOOKUP('Raw Data'!D60,$V$2:$V$5,$W$2:$W$5,,1)</f>
        <v>15 - 19</v>
      </c>
      <c r="E60">
        <v>2023</v>
      </c>
      <c r="F60" t="str">
        <f>_xlfn.XLOOKUP('Raw Data'!F60,$Q$2:$Q$9,$R$2:$R$9,,1)</f>
        <v>0 - 5</v>
      </c>
      <c r="G60">
        <v>491.95</v>
      </c>
    </row>
    <row r="61" spans="1:7" x14ac:dyDescent="0.25">
      <c r="A61" t="str">
        <f>_xlfn.XLOOKUP('Raw Data'!A61,$M$2:$M$11,$N$2:$N$11,,1)</f>
        <v>48 - 53</v>
      </c>
      <c r="B61" t="str">
        <f>_xlfn.XLOOKUP('Raw Data'!B61,$Q$2:$Q$9,$R$2:$R$9,,1)</f>
        <v>20 - 25</v>
      </c>
      <c r="C61">
        <v>0</v>
      </c>
      <c r="D61" t="str">
        <f>_xlfn.XLOOKUP('Raw Data'!D61,$V$2:$V$5,$W$2:$W$5,,1)</f>
        <v>15 - 19</v>
      </c>
      <c r="E61">
        <v>1995</v>
      </c>
      <c r="F61" t="str">
        <f>_xlfn.XLOOKUP('Raw Data'!F61,$Q$2:$Q$9,$R$2:$R$9,,1)</f>
        <v>25 - 30</v>
      </c>
      <c r="G61">
        <v>485.75</v>
      </c>
    </row>
    <row r="62" spans="1:7" x14ac:dyDescent="0.25">
      <c r="A62" t="str">
        <f>_xlfn.XLOOKUP('Raw Data'!A62,$M$2:$M$11,$N$2:$N$11,,1)</f>
        <v>53 - 58</v>
      </c>
      <c r="B62" t="str">
        <f>_xlfn.XLOOKUP('Raw Data'!B62,$Q$2:$Q$9,$R$2:$R$9,,1)</f>
        <v>0 - 5</v>
      </c>
      <c r="C62">
        <v>3</v>
      </c>
      <c r="D62" t="str">
        <f>_xlfn.XLOOKUP('Raw Data'!D62,$V$2:$V$5,$W$2:$W$5,,1)</f>
        <v>15 - 19</v>
      </c>
      <c r="E62">
        <v>1996</v>
      </c>
      <c r="F62" t="str">
        <f>_xlfn.XLOOKUP('Raw Data'!F62,$Q$2:$Q$9,$R$2:$R$9,,1)</f>
        <v>25 - 30</v>
      </c>
      <c r="G62">
        <v>495.9</v>
      </c>
    </row>
    <row r="63" spans="1:7" x14ac:dyDescent="0.25">
      <c r="A63" t="str">
        <f>_xlfn.XLOOKUP('Raw Data'!A63,$M$2:$M$11,$N$2:$N$11,,1)</f>
        <v>18 - 23</v>
      </c>
      <c r="B63" t="str">
        <f>_xlfn.XLOOKUP('Raw Data'!B63,$Q$2:$Q$9,$R$2:$R$9,,1)</f>
        <v>0 - 5</v>
      </c>
      <c r="C63">
        <v>4</v>
      </c>
      <c r="D63" t="str">
        <f>_xlfn.XLOOKUP('Raw Data'!D63,$V$2:$V$5,$W$2:$W$5,,1)</f>
        <v>11 - 15</v>
      </c>
      <c r="E63">
        <v>2021</v>
      </c>
      <c r="F63" t="str">
        <f>_xlfn.XLOOKUP('Raw Data'!F63,$Q$2:$Q$9,$R$2:$R$9,,1)</f>
        <v>0 - 5</v>
      </c>
      <c r="G63">
        <v>501.85</v>
      </c>
    </row>
    <row r="64" spans="1:7" x14ac:dyDescent="0.25">
      <c r="A64" t="str">
        <f>_xlfn.XLOOKUP('Raw Data'!A64,$M$2:$M$11,$N$2:$N$11,,1)</f>
        <v>18 - 23</v>
      </c>
      <c r="B64" t="str">
        <f>_xlfn.XLOOKUP('Raw Data'!B64,$Q$2:$Q$9,$R$2:$R$9,,1)</f>
        <v>0 - 5</v>
      </c>
      <c r="C64">
        <v>1</v>
      </c>
      <c r="D64" t="str">
        <f>_xlfn.XLOOKUP('Raw Data'!D64,$V$2:$V$5,$W$2:$W$5,,1)</f>
        <v>11 - 15</v>
      </c>
      <c r="E64">
        <v>2021</v>
      </c>
      <c r="F64" t="str">
        <f>_xlfn.XLOOKUP('Raw Data'!F64,$Q$2:$Q$9,$R$2:$R$9,,1)</f>
        <v>0 - 5</v>
      </c>
      <c r="G64">
        <v>498.55</v>
      </c>
    </row>
    <row r="65" spans="1:7" x14ac:dyDescent="0.25">
      <c r="A65" t="str">
        <f>_xlfn.XLOOKUP('Raw Data'!A65,$M$2:$M$11,$N$2:$N$11,,1)</f>
        <v>18 - 23</v>
      </c>
      <c r="B65" t="str">
        <f>_xlfn.XLOOKUP('Raw Data'!B65,$Q$2:$Q$9,$R$2:$R$9,,1)</f>
        <v>0 - 5</v>
      </c>
      <c r="C65">
        <v>4</v>
      </c>
      <c r="D65" t="str">
        <f>_xlfn.XLOOKUP('Raw Data'!D65,$V$2:$V$5,$W$2:$W$5,,1)</f>
        <v>19 - 23</v>
      </c>
      <c r="E65">
        <v>2014</v>
      </c>
      <c r="F65" t="str">
        <f>_xlfn.XLOOKUP('Raw Data'!F65,$Q$2:$Q$9,$R$2:$R$9,,1)</f>
        <v>10 - 15</v>
      </c>
      <c r="G65">
        <v>502.1</v>
      </c>
    </row>
    <row r="66" spans="1:7" x14ac:dyDescent="0.25">
      <c r="A66" t="str">
        <f>_xlfn.XLOOKUP('Raw Data'!A66,$M$2:$M$11,$N$2:$N$11,,1)</f>
        <v>58 - 63</v>
      </c>
      <c r="B66" t="str">
        <f>_xlfn.XLOOKUP('Raw Data'!B66,$Q$2:$Q$9,$R$2:$R$9,,1)</f>
        <v>35 - 40</v>
      </c>
      <c r="C66">
        <v>3</v>
      </c>
      <c r="D66" t="str">
        <f>_xlfn.XLOOKUP('Raw Data'!D66,$V$2:$V$5,$W$2:$W$5,,1)</f>
        <v>19 - 23</v>
      </c>
      <c r="E66">
        <v>2022</v>
      </c>
      <c r="F66" t="str">
        <f>_xlfn.XLOOKUP('Raw Data'!F66,$Q$2:$Q$9,$R$2:$R$9,,1)</f>
        <v>0 - 5</v>
      </c>
      <c r="G66">
        <v>482.35</v>
      </c>
    </row>
    <row r="67" spans="1:7" x14ac:dyDescent="0.25">
      <c r="A67" t="str">
        <f>_xlfn.XLOOKUP('Raw Data'!A67,$M$2:$M$11,$N$2:$N$11,,1)</f>
        <v>18 - 23</v>
      </c>
      <c r="B67" t="str">
        <f>_xlfn.XLOOKUP('Raw Data'!B67,$Q$2:$Q$9,$R$2:$R$9,,1)</f>
        <v>0 - 5</v>
      </c>
      <c r="C67">
        <v>3</v>
      </c>
      <c r="D67" t="str">
        <f>_xlfn.XLOOKUP('Raw Data'!D67,$V$2:$V$5,$W$2:$W$5,,1)</f>
        <v>23 - 27</v>
      </c>
      <c r="E67">
        <v>1996</v>
      </c>
      <c r="F67" t="str">
        <f>_xlfn.XLOOKUP('Raw Data'!F67,$Q$2:$Q$9,$R$2:$R$9,,1)</f>
        <v>25 - 30</v>
      </c>
      <c r="G67">
        <v>503.5</v>
      </c>
    </row>
    <row r="68" spans="1:7" x14ac:dyDescent="0.25">
      <c r="A68" t="str">
        <f>_xlfn.XLOOKUP('Raw Data'!A68,$M$2:$M$11,$N$2:$N$11,,1)</f>
        <v>43 - 48</v>
      </c>
      <c r="B68" t="str">
        <f>_xlfn.XLOOKUP('Raw Data'!B68,$Q$2:$Q$9,$R$2:$R$9,,1)</f>
        <v>25 - 30</v>
      </c>
      <c r="C68">
        <v>2</v>
      </c>
      <c r="D68" t="str">
        <f>_xlfn.XLOOKUP('Raw Data'!D68,$V$2:$V$5,$W$2:$W$5,,1)</f>
        <v>23 - 27</v>
      </c>
      <c r="E68">
        <v>2001</v>
      </c>
      <c r="F68" t="str">
        <f>_xlfn.XLOOKUP('Raw Data'!F68,$Q$2:$Q$9,$R$2:$R$9,,1)</f>
        <v>20 - 25</v>
      </c>
      <c r="G68">
        <v>489.05</v>
      </c>
    </row>
    <row r="69" spans="1:7" x14ac:dyDescent="0.25">
      <c r="A69" t="str">
        <f>_xlfn.XLOOKUP('Raw Data'!A69,$M$2:$M$11,$N$2:$N$11,,1)</f>
        <v>33 - 38</v>
      </c>
      <c r="B69" t="str">
        <f>_xlfn.XLOOKUP('Raw Data'!B69,$Q$2:$Q$9,$R$2:$R$9,,1)</f>
        <v>15 - 20</v>
      </c>
      <c r="C69">
        <v>5</v>
      </c>
      <c r="D69" t="str">
        <f>_xlfn.XLOOKUP('Raw Data'!D69,$V$2:$V$5,$W$2:$W$5,,1)</f>
        <v>19 - 23</v>
      </c>
      <c r="E69">
        <v>2005</v>
      </c>
      <c r="F69" t="str">
        <f>_xlfn.XLOOKUP('Raw Data'!F69,$Q$2:$Q$9,$R$2:$R$9,,1)</f>
        <v>15 - 20</v>
      </c>
      <c r="G69">
        <v>498.45</v>
      </c>
    </row>
    <row r="70" spans="1:7" x14ac:dyDescent="0.25">
      <c r="A70" t="str">
        <f>_xlfn.XLOOKUP('Raw Data'!A70,$M$2:$M$11,$N$2:$N$11,,1)</f>
        <v>38 - 43</v>
      </c>
      <c r="B70" t="str">
        <f>_xlfn.XLOOKUP('Raw Data'!B70,$Q$2:$Q$9,$R$2:$R$9,,1)</f>
        <v>10 - 15</v>
      </c>
      <c r="C70">
        <v>5</v>
      </c>
      <c r="D70" t="str">
        <f>_xlfn.XLOOKUP('Raw Data'!D70,$V$2:$V$5,$W$2:$W$5,,1)</f>
        <v>11 - 15</v>
      </c>
      <c r="E70">
        <v>2005</v>
      </c>
      <c r="F70" t="str">
        <f>_xlfn.XLOOKUP('Raw Data'!F70,$Q$2:$Q$9,$R$2:$R$9,,1)</f>
        <v>15 - 20</v>
      </c>
      <c r="G70">
        <v>497.65</v>
      </c>
    </row>
    <row r="71" spans="1:7" x14ac:dyDescent="0.25">
      <c r="A71" t="str">
        <f>_xlfn.XLOOKUP('Raw Data'!A71,$M$2:$M$11,$N$2:$N$11,,1)</f>
        <v>58 - 63</v>
      </c>
      <c r="B71" t="str">
        <f>_xlfn.XLOOKUP('Raw Data'!B71,$Q$2:$Q$9,$R$2:$R$9,,1)</f>
        <v>30 - 35</v>
      </c>
      <c r="C71">
        <v>1</v>
      </c>
      <c r="D71" t="str">
        <f>_xlfn.XLOOKUP('Raw Data'!D71,$V$2:$V$5,$W$2:$W$5,,1)</f>
        <v>11 - 15</v>
      </c>
      <c r="E71">
        <v>2025</v>
      </c>
      <c r="F71" t="str">
        <f>_xlfn.XLOOKUP('Raw Data'!F71,$Q$2:$Q$9,$R$2:$R$9,,1)</f>
        <v>0 - 5</v>
      </c>
      <c r="G71">
        <v>480.55</v>
      </c>
    </row>
    <row r="72" spans="1:7" x14ac:dyDescent="0.25">
      <c r="A72" t="str">
        <f>_xlfn.XLOOKUP('Raw Data'!A72,$M$2:$M$11,$N$2:$N$11,,1)</f>
        <v>48 - 53</v>
      </c>
      <c r="B72" t="str">
        <f>_xlfn.XLOOKUP('Raw Data'!B72,$Q$2:$Q$9,$R$2:$R$9,,1)</f>
        <v>30 - 35</v>
      </c>
      <c r="C72">
        <v>3</v>
      </c>
      <c r="D72" t="str">
        <f>_xlfn.XLOOKUP('Raw Data'!D72,$V$2:$V$5,$W$2:$W$5,,1)</f>
        <v>11 - 15</v>
      </c>
      <c r="E72">
        <v>2002</v>
      </c>
      <c r="F72" t="str">
        <f>_xlfn.XLOOKUP('Raw Data'!F72,$Q$2:$Q$9,$R$2:$R$9,,1)</f>
        <v>20 - 25</v>
      </c>
      <c r="G72">
        <v>487.4</v>
      </c>
    </row>
    <row r="73" spans="1:7" x14ac:dyDescent="0.25">
      <c r="A73" t="str">
        <f>_xlfn.XLOOKUP('Raw Data'!A73,$M$2:$M$11,$N$2:$N$11,,1)</f>
        <v>23 - 28</v>
      </c>
      <c r="B73" t="str">
        <f>_xlfn.XLOOKUP('Raw Data'!B73,$Q$2:$Q$9,$R$2:$R$9,,1)</f>
        <v>5 - 10</v>
      </c>
      <c r="C73">
        <v>2</v>
      </c>
      <c r="D73" t="str">
        <f>_xlfn.XLOOKUP('Raw Data'!D73,$V$2:$V$5,$W$2:$W$5,,1)</f>
        <v>19 - 23</v>
      </c>
      <c r="E73">
        <v>1996</v>
      </c>
      <c r="F73" t="str">
        <f>_xlfn.XLOOKUP('Raw Data'!F73,$Q$2:$Q$9,$R$2:$R$9,,1)</f>
        <v>25 - 30</v>
      </c>
      <c r="G73">
        <v>498.95</v>
      </c>
    </row>
    <row r="74" spans="1:7" x14ac:dyDescent="0.25">
      <c r="A74" t="str">
        <f>_xlfn.XLOOKUP('Raw Data'!A74,$M$2:$M$11,$N$2:$N$11,,1)</f>
        <v>48 - 53</v>
      </c>
      <c r="B74" t="str">
        <f>_xlfn.XLOOKUP('Raw Data'!B74,$Q$2:$Q$9,$R$2:$R$9,,1)</f>
        <v>20 - 25</v>
      </c>
      <c r="C74">
        <v>2</v>
      </c>
      <c r="D74" t="str">
        <f>_xlfn.XLOOKUP('Raw Data'!D74,$V$2:$V$5,$W$2:$W$5,,1)</f>
        <v>11 - 15</v>
      </c>
      <c r="E74">
        <v>2025</v>
      </c>
      <c r="F74" t="str">
        <f>_xlfn.XLOOKUP('Raw Data'!F74,$Q$2:$Q$9,$R$2:$R$9,,1)</f>
        <v>0 - 5</v>
      </c>
      <c r="G74">
        <v>486.4</v>
      </c>
    </row>
    <row r="75" spans="1:7" x14ac:dyDescent="0.25">
      <c r="A75" t="str">
        <f>_xlfn.XLOOKUP('Raw Data'!A75,$M$2:$M$11,$N$2:$N$11,,1)</f>
        <v>28 - 33</v>
      </c>
      <c r="B75" t="str">
        <f>_xlfn.XLOOKUP('Raw Data'!B75,$Q$2:$Q$9,$R$2:$R$9,,1)</f>
        <v>10 - 15</v>
      </c>
      <c r="C75">
        <v>4</v>
      </c>
      <c r="D75" t="str">
        <f>_xlfn.XLOOKUP('Raw Data'!D75,$V$2:$V$5,$W$2:$W$5,,1)</f>
        <v>11 - 15</v>
      </c>
      <c r="E75">
        <v>1998</v>
      </c>
      <c r="F75" t="str">
        <f>_xlfn.XLOOKUP('Raw Data'!F75,$Q$2:$Q$9,$R$2:$R$9,,1)</f>
        <v>25 - 30</v>
      </c>
      <c r="G75">
        <v>499.2</v>
      </c>
    </row>
    <row r="76" spans="1:7" x14ac:dyDescent="0.25">
      <c r="A76" t="str">
        <f>_xlfn.XLOOKUP('Raw Data'!A76,$M$2:$M$11,$N$2:$N$11,,1)</f>
        <v>43 - 48</v>
      </c>
      <c r="B76" t="str">
        <f>_xlfn.XLOOKUP('Raw Data'!B76,$Q$2:$Q$9,$R$2:$R$9,,1)</f>
        <v>25 - 30</v>
      </c>
      <c r="C76">
        <v>4</v>
      </c>
      <c r="D76" t="str">
        <f>_xlfn.XLOOKUP('Raw Data'!D76,$V$2:$V$5,$W$2:$W$5,,1)</f>
        <v>11 - 15</v>
      </c>
      <c r="E76">
        <v>2021</v>
      </c>
      <c r="F76" t="str">
        <f>_xlfn.XLOOKUP('Raw Data'!F76,$Q$2:$Q$9,$R$2:$R$9,,1)</f>
        <v>0 - 5</v>
      </c>
      <c r="G76">
        <v>488.45</v>
      </c>
    </row>
    <row r="77" spans="1:7" x14ac:dyDescent="0.25">
      <c r="A77" t="str">
        <f>_xlfn.XLOOKUP('Raw Data'!A77,$M$2:$M$11,$N$2:$N$11,,1)</f>
        <v>63 - 68</v>
      </c>
      <c r="B77" t="str">
        <f>_xlfn.XLOOKUP('Raw Data'!B77,$Q$2:$Q$9,$R$2:$R$9,,1)</f>
        <v>20 - 25</v>
      </c>
      <c r="C77">
        <v>2</v>
      </c>
      <c r="D77" t="str">
        <f>_xlfn.XLOOKUP('Raw Data'!D77,$V$2:$V$5,$W$2:$W$5,,1)</f>
        <v>15 - 19</v>
      </c>
      <c r="E77">
        <v>2000</v>
      </c>
      <c r="F77" t="str">
        <f>_xlfn.XLOOKUP('Raw Data'!F77,$Q$2:$Q$9,$R$2:$R$9,,1)</f>
        <v>20 - 25</v>
      </c>
      <c r="G77">
        <v>486.2</v>
      </c>
    </row>
    <row r="78" spans="1:7" x14ac:dyDescent="0.25">
      <c r="A78" t="str">
        <f>_xlfn.XLOOKUP('Raw Data'!A78,$M$2:$M$11,$N$2:$N$11,,1)</f>
        <v>28 - 33</v>
      </c>
      <c r="B78" t="str">
        <f>_xlfn.XLOOKUP('Raw Data'!B78,$Q$2:$Q$9,$R$2:$R$9,,1)</f>
        <v>10 - 15</v>
      </c>
      <c r="C78">
        <v>4</v>
      </c>
      <c r="D78" t="str">
        <f>_xlfn.XLOOKUP('Raw Data'!D78,$V$2:$V$5,$W$2:$W$5,,1)</f>
        <v>15 - 19</v>
      </c>
      <c r="E78">
        <v>1997</v>
      </c>
      <c r="F78" t="str">
        <f>_xlfn.XLOOKUP('Raw Data'!F78,$Q$2:$Q$9,$R$2:$R$9,,1)</f>
        <v>25 - 30</v>
      </c>
      <c r="G78">
        <v>499.1</v>
      </c>
    </row>
    <row r="79" spans="1:7" x14ac:dyDescent="0.25">
      <c r="A79" t="str">
        <f>_xlfn.XLOOKUP('Raw Data'!A79,$M$2:$M$11,$N$2:$N$11,,1)</f>
        <v>23 - 28</v>
      </c>
      <c r="B79" t="str">
        <f>_xlfn.XLOOKUP('Raw Data'!B79,$Q$2:$Q$9,$R$2:$R$9,,1)</f>
        <v>5 - 10</v>
      </c>
      <c r="C79">
        <v>3</v>
      </c>
      <c r="D79" t="str">
        <f>_xlfn.XLOOKUP('Raw Data'!D79,$V$2:$V$5,$W$2:$W$5,,1)</f>
        <v>19 - 23</v>
      </c>
      <c r="E79">
        <v>2022</v>
      </c>
      <c r="F79" t="str">
        <f>_xlfn.XLOOKUP('Raw Data'!F79,$Q$2:$Q$9,$R$2:$R$9,,1)</f>
        <v>0 - 5</v>
      </c>
      <c r="G79">
        <v>498.8</v>
      </c>
    </row>
    <row r="80" spans="1:7" x14ac:dyDescent="0.25">
      <c r="A80" t="str">
        <f>_xlfn.XLOOKUP('Raw Data'!A80,$M$2:$M$11,$N$2:$N$11,,1)</f>
        <v>28 - 33</v>
      </c>
      <c r="B80" t="str">
        <f>_xlfn.XLOOKUP('Raw Data'!B80,$Q$2:$Q$9,$R$2:$R$9,,1)</f>
        <v>0 - 5</v>
      </c>
      <c r="C80">
        <v>0</v>
      </c>
      <c r="D80" t="str">
        <f>_xlfn.XLOOKUP('Raw Data'!D80,$V$2:$V$5,$W$2:$W$5,,1)</f>
        <v>23 - 27</v>
      </c>
      <c r="E80">
        <v>2012</v>
      </c>
      <c r="F80" t="str">
        <f>_xlfn.XLOOKUP('Raw Data'!F80,$Q$2:$Q$9,$R$2:$R$9,,1)</f>
        <v>10 - 15</v>
      </c>
      <c r="G80">
        <v>496.05</v>
      </c>
    </row>
    <row r="81" spans="1:7" x14ac:dyDescent="0.25">
      <c r="A81" t="str">
        <f>_xlfn.XLOOKUP('Raw Data'!A81,$M$2:$M$11,$N$2:$N$11,,1)</f>
        <v>38 - 43</v>
      </c>
      <c r="B81" t="str">
        <f>_xlfn.XLOOKUP('Raw Data'!B81,$Q$2:$Q$9,$R$2:$R$9,,1)</f>
        <v>10 - 15</v>
      </c>
      <c r="C81">
        <v>3</v>
      </c>
      <c r="D81" t="str">
        <f>_xlfn.XLOOKUP('Raw Data'!D81,$V$2:$V$5,$W$2:$W$5,,1)</f>
        <v>15 - 19</v>
      </c>
      <c r="E81">
        <v>2014</v>
      </c>
      <c r="F81" t="str">
        <f>_xlfn.XLOOKUP('Raw Data'!F81,$Q$2:$Q$9,$R$2:$R$9,,1)</f>
        <v>10 - 15</v>
      </c>
      <c r="G81">
        <v>494.55</v>
      </c>
    </row>
    <row r="82" spans="1:7" x14ac:dyDescent="0.25">
      <c r="A82" t="str">
        <f>_xlfn.XLOOKUP('Raw Data'!A82,$M$2:$M$11,$N$2:$N$11,,1)</f>
        <v>53 - 58</v>
      </c>
      <c r="B82" t="str">
        <f>_xlfn.XLOOKUP('Raw Data'!B82,$Q$2:$Q$9,$R$2:$R$9,,1)</f>
        <v>35 - 40</v>
      </c>
      <c r="C82">
        <v>2</v>
      </c>
      <c r="D82" t="str">
        <f>_xlfn.XLOOKUP('Raw Data'!D82,$V$2:$V$5,$W$2:$W$5,,1)</f>
        <v>15 - 19</v>
      </c>
      <c r="E82">
        <v>1997</v>
      </c>
      <c r="F82" t="str">
        <f>_xlfn.XLOOKUP('Raw Data'!F82,$Q$2:$Q$9,$R$2:$R$9,,1)</f>
        <v>25 - 30</v>
      </c>
      <c r="G82">
        <v>483.5</v>
      </c>
    </row>
    <row r="83" spans="1:7" x14ac:dyDescent="0.25">
      <c r="A83" t="str">
        <f>_xlfn.XLOOKUP('Raw Data'!A83,$M$2:$M$11,$N$2:$N$11,,1)</f>
        <v>33 - 38</v>
      </c>
      <c r="B83" t="str">
        <f>_xlfn.XLOOKUP('Raw Data'!B83,$Q$2:$Q$9,$R$2:$R$9,,1)</f>
        <v>15 - 20</v>
      </c>
      <c r="C83">
        <v>2</v>
      </c>
      <c r="D83" t="str">
        <f>_xlfn.XLOOKUP('Raw Data'!D83,$V$2:$V$5,$W$2:$W$5,,1)</f>
        <v>15 - 19</v>
      </c>
      <c r="E83">
        <v>2011</v>
      </c>
      <c r="F83" t="str">
        <f>_xlfn.XLOOKUP('Raw Data'!F83,$Q$2:$Q$9,$R$2:$R$9,,1)</f>
        <v>10 - 15</v>
      </c>
      <c r="G83">
        <v>491.75</v>
      </c>
    </row>
    <row r="84" spans="1:7" x14ac:dyDescent="0.25">
      <c r="A84" t="str">
        <f>_xlfn.XLOOKUP('Raw Data'!A84,$M$2:$M$11,$N$2:$N$11,,1)</f>
        <v>28 - 33</v>
      </c>
      <c r="B84" t="str">
        <f>_xlfn.XLOOKUP('Raw Data'!B84,$Q$2:$Q$9,$R$2:$R$9,,1)</f>
        <v>10 - 15</v>
      </c>
      <c r="C84">
        <v>3</v>
      </c>
      <c r="D84" t="str">
        <f>_xlfn.XLOOKUP('Raw Data'!D84,$V$2:$V$5,$W$2:$W$5,,1)</f>
        <v>11 - 15</v>
      </c>
      <c r="E84">
        <v>1993</v>
      </c>
      <c r="F84" t="str">
        <f>_xlfn.XLOOKUP('Raw Data'!F84,$Q$2:$Q$9,$R$2:$R$9,,1)</f>
        <v>30 - 35</v>
      </c>
      <c r="G84">
        <v>497.3</v>
      </c>
    </row>
    <row r="85" spans="1:7" x14ac:dyDescent="0.25">
      <c r="A85" t="str">
        <f>_xlfn.XLOOKUP('Raw Data'!A85,$M$2:$M$11,$N$2:$N$11,,1)</f>
        <v>58 - 63</v>
      </c>
      <c r="B85" t="str">
        <f>_xlfn.XLOOKUP('Raw Data'!B85,$Q$2:$Q$9,$R$2:$R$9,,1)</f>
        <v>0 - 5</v>
      </c>
      <c r="C85">
        <v>4</v>
      </c>
      <c r="D85" t="str">
        <f>_xlfn.XLOOKUP('Raw Data'!D85,$V$2:$V$5,$W$2:$W$5,,1)</f>
        <v>19 - 23</v>
      </c>
      <c r="E85">
        <v>1992</v>
      </c>
      <c r="F85" t="str">
        <f>_xlfn.XLOOKUP('Raw Data'!F85,$Q$2:$Q$9,$R$2:$R$9,,1)</f>
        <v>30 - 35</v>
      </c>
      <c r="G85">
        <v>496.5</v>
      </c>
    </row>
    <row r="86" spans="1:7" x14ac:dyDescent="0.25">
      <c r="A86" t="str">
        <f>_xlfn.XLOOKUP('Raw Data'!A86,$M$2:$M$11,$N$2:$N$11,,1)</f>
        <v>33 - 38</v>
      </c>
      <c r="B86" t="str">
        <f>_xlfn.XLOOKUP('Raw Data'!B86,$Q$2:$Q$9,$R$2:$R$9,,1)</f>
        <v>0 - 5</v>
      </c>
      <c r="C86">
        <v>4</v>
      </c>
      <c r="D86" t="str">
        <f>_xlfn.XLOOKUP('Raw Data'!D86,$V$2:$V$5,$W$2:$W$5,,1)</f>
        <v>11 - 15</v>
      </c>
      <c r="E86">
        <v>2018</v>
      </c>
      <c r="F86" t="str">
        <f>_xlfn.XLOOKUP('Raw Data'!F86,$Q$2:$Q$9,$R$2:$R$9,,1)</f>
        <v>5 - 10</v>
      </c>
      <c r="G86">
        <v>498.75</v>
      </c>
    </row>
    <row r="87" spans="1:7" x14ac:dyDescent="0.25">
      <c r="A87" t="str">
        <f>_xlfn.XLOOKUP('Raw Data'!A87,$M$2:$M$11,$N$2:$N$11,,1)</f>
        <v>63 - 68</v>
      </c>
      <c r="B87" t="str">
        <f>_xlfn.XLOOKUP('Raw Data'!B87,$Q$2:$Q$9,$R$2:$R$9,,1)</f>
        <v>0 - 5</v>
      </c>
      <c r="C87">
        <v>5</v>
      </c>
      <c r="D87" t="str">
        <f>_xlfn.XLOOKUP('Raw Data'!D87,$V$2:$V$5,$W$2:$W$5,,1)</f>
        <v>15 - 19</v>
      </c>
      <c r="E87">
        <v>2018</v>
      </c>
      <c r="F87" t="str">
        <f>_xlfn.XLOOKUP('Raw Data'!F87,$Q$2:$Q$9,$R$2:$R$9,,1)</f>
        <v>5 - 10</v>
      </c>
      <c r="G87">
        <v>495.7</v>
      </c>
    </row>
    <row r="88" spans="1:7" x14ac:dyDescent="0.25">
      <c r="A88" t="str">
        <f>_xlfn.XLOOKUP('Raw Data'!A88,$M$2:$M$11,$N$2:$N$11,,1)</f>
        <v>38 - 43</v>
      </c>
      <c r="B88" t="str">
        <f>_xlfn.XLOOKUP('Raw Data'!B88,$Q$2:$Q$9,$R$2:$R$9,,1)</f>
        <v>5 - 10</v>
      </c>
      <c r="C88">
        <v>2</v>
      </c>
      <c r="D88" t="str">
        <f>_xlfn.XLOOKUP('Raw Data'!D88,$V$2:$V$5,$W$2:$W$5,,1)</f>
        <v>15 - 19</v>
      </c>
      <c r="E88">
        <v>2023</v>
      </c>
      <c r="F88" t="str">
        <f>_xlfn.XLOOKUP('Raw Data'!F88,$Q$2:$Q$9,$R$2:$R$9,,1)</f>
        <v>0 - 5</v>
      </c>
      <c r="G88">
        <v>494.05</v>
      </c>
    </row>
    <row r="89" spans="1:7" x14ac:dyDescent="0.25">
      <c r="A89" t="str">
        <f>_xlfn.XLOOKUP('Raw Data'!A89,$M$2:$M$11,$N$2:$N$11,,1)</f>
        <v>38 - 43</v>
      </c>
      <c r="B89" t="str">
        <f>_xlfn.XLOOKUP('Raw Data'!B89,$Q$2:$Q$9,$R$2:$R$9,,1)</f>
        <v>5 - 10</v>
      </c>
      <c r="C89">
        <v>1</v>
      </c>
      <c r="D89" t="str">
        <f>_xlfn.XLOOKUP('Raw Data'!D89,$V$2:$V$5,$W$2:$W$5,,1)</f>
        <v>15 - 19</v>
      </c>
      <c r="E89">
        <v>2023</v>
      </c>
      <c r="F89" t="str">
        <f>_xlfn.XLOOKUP('Raw Data'!F89,$Q$2:$Q$9,$R$2:$R$9,,1)</f>
        <v>0 - 5</v>
      </c>
      <c r="G89">
        <v>491.85</v>
      </c>
    </row>
    <row r="90" spans="1:7" x14ac:dyDescent="0.25">
      <c r="A90" t="str">
        <f>_xlfn.XLOOKUP('Raw Data'!A90,$M$2:$M$11,$N$2:$N$11,,1)</f>
        <v>38 - 43</v>
      </c>
      <c r="B90" t="str">
        <f>_xlfn.XLOOKUP('Raw Data'!B90,$Q$2:$Q$9,$R$2:$R$9,,1)</f>
        <v>10 - 15</v>
      </c>
      <c r="C90">
        <v>5</v>
      </c>
      <c r="D90" t="str">
        <f>_xlfn.XLOOKUP('Raw Data'!D90,$V$2:$V$5,$W$2:$W$5,,1)</f>
        <v>23 - 27</v>
      </c>
      <c r="E90">
        <v>2017</v>
      </c>
      <c r="F90" t="str">
        <f>_xlfn.XLOOKUP('Raw Data'!F90,$Q$2:$Q$9,$R$2:$R$9,,1)</f>
        <v>5 - 10</v>
      </c>
      <c r="G90">
        <v>496.95</v>
      </c>
    </row>
    <row r="91" spans="1:7" x14ac:dyDescent="0.25">
      <c r="A91" t="str">
        <f>_xlfn.XLOOKUP('Raw Data'!A91,$M$2:$M$11,$N$2:$N$11,,1)</f>
        <v>58 - 63</v>
      </c>
      <c r="B91" t="str">
        <f>_xlfn.XLOOKUP('Raw Data'!B91,$Q$2:$Q$9,$R$2:$R$9,,1)</f>
        <v>25 - 30</v>
      </c>
      <c r="C91">
        <v>4</v>
      </c>
      <c r="D91" t="str">
        <f>_xlfn.XLOOKUP('Raw Data'!D91,$V$2:$V$5,$W$2:$W$5,,1)</f>
        <v>11 - 15</v>
      </c>
      <c r="E91">
        <v>2002</v>
      </c>
      <c r="F91" t="str">
        <f>_xlfn.XLOOKUP('Raw Data'!F91,$Q$2:$Q$9,$R$2:$R$9,,1)</f>
        <v>20 - 25</v>
      </c>
      <c r="G91">
        <v>488.15</v>
      </c>
    </row>
    <row r="92" spans="1:7" x14ac:dyDescent="0.25">
      <c r="A92" t="str">
        <f>_xlfn.XLOOKUP('Raw Data'!A92,$M$2:$M$11,$N$2:$N$11,,1)</f>
        <v>53 - 58</v>
      </c>
      <c r="B92" t="str">
        <f>_xlfn.XLOOKUP('Raw Data'!B92,$Q$2:$Q$9,$R$2:$R$9,,1)</f>
        <v>30 - 35</v>
      </c>
      <c r="C92">
        <v>3</v>
      </c>
      <c r="D92" t="str">
        <f>_xlfn.XLOOKUP('Raw Data'!D92,$V$2:$V$5,$W$2:$W$5,,1)</f>
        <v>11 - 15</v>
      </c>
      <c r="E92">
        <v>2004</v>
      </c>
      <c r="F92" t="str">
        <f>_xlfn.XLOOKUP('Raw Data'!F92,$Q$2:$Q$9,$R$2:$R$9,,1)</f>
        <v>20 - 25</v>
      </c>
      <c r="G92">
        <v>486.1</v>
      </c>
    </row>
    <row r="93" spans="1:7" x14ac:dyDescent="0.25">
      <c r="A93" t="str">
        <f>_xlfn.XLOOKUP('Raw Data'!A93,$M$2:$M$11,$N$2:$N$11,,1)</f>
        <v>43 - 48</v>
      </c>
      <c r="B93" t="str">
        <f>_xlfn.XLOOKUP('Raw Data'!B93,$Q$2:$Q$9,$R$2:$R$9,,1)</f>
        <v>25 - 30</v>
      </c>
      <c r="C93">
        <v>4</v>
      </c>
      <c r="D93" t="str">
        <f>_xlfn.XLOOKUP('Raw Data'!D93,$V$2:$V$5,$W$2:$W$5,,1)</f>
        <v>19 - 23</v>
      </c>
      <c r="E93">
        <v>2012</v>
      </c>
      <c r="F93" t="str">
        <f>_xlfn.XLOOKUP('Raw Data'!F93,$Q$2:$Q$9,$R$2:$R$9,,1)</f>
        <v>10 - 15</v>
      </c>
      <c r="G93">
        <v>490.7</v>
      </c>
    </row>
    <row r="94" spans="1:7" x14ac:dyDescent="0.25">
      <c r="A94" t="str">
        <f>_xlfn.XLOOKUP('Raw Data'!A94,$M$2:$M$11,$N$2:$N$11,,1)</f>
        <v>28 - 33</v>
      </c>
      <c r="B94" t="str">
        <f>_xlfn.XLOOKUP('Raw Data'!B94,$Q$2:$Q$9,$R$2:$R$9,,1)</f>
        <v>10 - 15</v>
      </c>
      <c r="C94">
        <v>3</v>
      </c>
      <c r="D94" t="str">
        <f>_xlfn.XLOOKUP('Raw Data'!D94,$V$2:$V$5,$W$2:$W$5,,1)</f>
        <v>15 - 19</v>
      </c>
      <c r="E94">
        <v>2015</v>
      </c>
      <c r="F94" t="str">
        <f>_xlfn.XLOOKUP('Raw Data'!F94,$Q$2:$Q$9,$R$2:$R$9,,1)</f>
        <v>5 - 10</v>
      </c>
      <c r="G94">
        <v>495.85</v>
      </c>
    </row>
    <row r="95" spans="1:7" x14ac:dyDescent="0.25">
      <c r="A95" t="str">
        <f>_xlfn.XLOOKUP('Raw Data'!A95,$M$2:$M$11,$N$2:$N$11,,1)</f>
        <v>58 - 63</v>
      </c>
      <c r="B95" t="str">
        <f>_xlfn.XLOOKUP('Raw Data'!B95,$Q$2:$Q$9,$R$2:$R$9,,1)</f>
        <v>25 - 30</v>
      </c>
      <c r="C95">
        <v>5</v>
      </c>
      <c r="D95" t="str">
        <f>_xlfn.XLOOKUP('Raw Data'!D95,$V$2:$V$5,$W$2:$W$5,,1)</f>
        <v>23 - 27</v>
      </c>
      <c r="E95">
        <v>1993</v>
      </c>
      <c r="F95" t="str">
        <f>_xlfn.XLOOKUP('Raw Data'!F95,$Q$2:$Q$9,$R$2:$R$9,,1)</f>
        <v>30 - 35</v>
      </c>
      <c r="G95">
        <v>491.75</v>
      </c>
    </row>
    <row r="96" spans="1:7" x14ac:dyDescent="0.25">
      <c r="A96" t="str">
        <f>_xlfn.XLOOKUP('Raw Data'!A96,$M$2:$M$11,$N$2:$N$11,,1)</f>
        <v>18 - 23</v>
      </c>
      <c r="B96" t="str">
        <f>_xlfn.XLOOKUP('Raw Data'!B96,$Q$2:$Q$9,$R$2:$R$9,,1)</f>
        <v>0 - 5</v>
      </c>
      <c r="C96">
        <v>2</v>
      </c>
      <c r="D96" t="str">
        <f>_xlfn.XLOOKUP('Raw Data'!D96,$V$2:$V$5,$W$2:$W$5,,1)</f>
        <v>15 - 19</v>
      </c>
      <c r="E96">
        <v>2015</v>
      </c>
      <c r="F96" t="str">
        <f>_xlfn.XLOOKUP('Raw Data'!F96,$Q$2:$Q$9,$R$2:$R$9,,1)</f>
        <v>5 - 10</v>
      </c>
      <c r="G96">
        <v>501.2</v>
      </c>
    </row>
    <row r="97" spans="1:7" x14ac:dyDescent="0.25">
      <c r="A97" t="str">
        <f>_xlfn.XLOOKUP('Raw Data'!A97,$M$2:$M$11,$N$2:$N$11,,1)</f>
        <v>38 - 43</v>
      </c>
      <c r="B97" t="str">
        <f>_xlfn.XLOOKUP('Raw Data'!B97,$Q$2:$Q$9,$R$2:$R$9,,1)</f>
        <v>20 - 25</v>
      </c>
      <c r="C97">
        <v>4</v>
      </c>
      <c r="D97" t="str">
        <f>_xlfn.XLOOKUP('Raw Data'!D97,$V$2:$V$5,$W$2:$W$5,,1)</f>
        <v>23 - 27</v>
      </c>
      <c r="E97">
        <v>1998</v>
      </c>
      <c r="F97" t="str">
        <f>_xlfn.XLOOKUP('Raw Data'!F97,$Q$2:$Q$9,$R$2:$R$9,,1)</f>
        <v>25 - 30</v>
      </c>
      <c r="G97">
        <v>494.35</v>
      </c>
    </row>
    <row r="98" spans="1:7" x14ac:dyDescent="0.25">
      <c r="A98" t="str">
        <f>_xlfn.XLOOKUP('Raw Data'!A98,$M$2:$M$11,$N$2:$N$11,,1)</f>
        <v>23 - 28</v>
      </c>
      <c r="B98" t="str">
        <f>_xlfn.XLOOKUP('Raw Data'!B98,$Q$2:$Q$9,$R$2:$R$9,,1)</f>
        <v>5 - 10</v>
      </c>
      <c r="C98">
        <v>3</v>
      </c>
      <c r="D98" t="str">
        <f>_xlfn.XLOOKUP('Raw Data'!D98,$V$2:$V$5,$W$2:$W$5,,1)</f>
        <v>23 - 27</v>
      </c>
      <c r="E98">
        <v>1994</v>
      </c>
      <c r="F98" t="str">
        <f>_xlfn.XLOOKUP('Raw Data'!F98,$Q$2:$Q$9,$R$2:$R$9,,1)</f>
        <v>30 - 35</v>
      </c>
      <c r="G98">
        <v>502.25</v>
      </c>
    </row>
    <row r="99" spans="1:7" x14ac:dyDescent="0.25">
      <c r="A99" t="str">
        <f>_xlfn.XLOOKUP('Raw Data'!A99,$M$2:$M$11,$N$2:$N$11,,1)</f>
        <v>23 - 28</v>
      </c>
      <c r="B99" t="str">
        <f>_xlfn.XLOOKUP('Raw Data'!B99,$Q$2:$Q$9,$R$2:$R$9,,1)</f>
        <v>5 - 10</v>
      </c>
      <c r="C99">
        <v>2</v>
      </c>
      <c r="D99" t="str">
        <f>_xlfn.XLOOKUP('Raw Data'!D99,$V$2:$V$5,$W$2:$W$5,,1)</f>
        <v>11 - 15</v>
      </c>
      <c r="E99">
        <v>2021</v>
      </c>
      <c r="F99" t="str">
        <f>_xlfn.XLOOKUP('Raw Data'!F99,$Q$2:$Q$9,$R$2:$R$9,,1)</f>
        <v>0 - 5</v>
      </c>
      <c r="G99">
        <v>496.55</v>
      </c>
    </row>
    <row r="100" spans="1:7" x14ac:dyDescent="0.25">
      <c r="A100" t="str">
        <f>_xlfn.XLOOKUP('Raw Data'!A100,$M$2:$M$11,$N$2:$N$11,,1)</f>
        <v>38 - 43</v>
      </c>
      <c r="B100" t="str">
        <f>_xlfn.XLOOKUP('Raw Data'!B100,$Q$2:$Q$9,$R$2:$R$9,,1)</f>
        <v>20 - 25</v>
      </c>
      <c r="C100">
        <v>1</v>
      </c>
      <c r="D100" t="str">
        <f>_xlfn.XLOOKUP('Raw Data'!D100,$V$2:$V$5,$W$2:$W$5,,1)</f>
        <v>11 - 15</v>
      </c>
      <c r="E100">
        <v>2009</v>
      </c>
      <c r="F100" t="str">
        <f>_xlfn.XLOOKUP('Raw Data'!F100,$Q$2:$Q$9,$R$2:$R$9,,1)</f>
        <v>15 - 20</v>
      </c>
      <c r="G100">
        <v>488.65</v>
      </c>
    </row>
    <row r="101" spans="1:7" x14ac:dyDescent="0.25">
      <c r="A101" t="str">
        <f>_xlfn.XLOOKUP('Raw Data'!A101,$M$2:$M$11,$N$2:$N$11,,1)</f>
        <v>18 - 23</v>
      </c>
      <c r="B101" t="str">
        <f>_xlfn.XLOOKUP('Raw Data'!B101,$Q$2:$Q$9,$R$2:$R$9,,1)</f>
        <v>0 - 5</v>
      </c>
      <c r="C101">
        <v>3</v>
      </c>
      <c r="D101" t="str">
        <f>_xlfn.XLOOKUP('Raw Data'!D101,$V$2:$V$5,$W$2:$W$5,,1)</f>
        <v>15 - 19</v>
      </c>
      <c r="E101">
        <v>2000</v>
      </c>
      <c r="F101" t="str">
        <f>_xlfn.XLOOKUP('Raw Data'!F101,$Q$2:$Q$9,$R$2:$R$9,,1)</f>
        <v>20 - 25</v>
      </c>
      <c r="G101">
        <v>504.35</v>
      </c>
    </row>
    <row r="102" spans="1:7" x14ac:dyDescent="0.25">
      <c r="A102" t="str">
        <f>_xlfn.XLOOKUP('Raw Data'!A102,$M$2:$M$11,$N$2:$N$11,,1)</f>
        <v>58 - 63</v>
      </c>
      <c r="B102" t="str">
        <f>_xlfn.XLOOKUP('Raw Data'!B102,$Q$2:$Q$9,$R$2:$R$9,,1)</f>
        <v>30 - 35</v>
      </c>
      <c r="C102">
        <v>5</v>
      </c>
      <c r="D102" t="str">
        <f>_xlfn.XLOOKUP('Raw Data'!D102,$V$2:$V$5,$W$2:$W$5,,1)</f>
        <v>11 - 15</v>
      </c>
      <c r="E102">
        <v>2004</v>
      </c>
      <c r="F102" t="str">
        <f>_xlfn.XLOOKUP('Raw Data'!F102,$Q$2:$Q$9,$R$2:$R$9,,1)</f>
        <v>20 - 25</v>
      </c>
      <c r="G102">
        <v>488.55</v>
      </c>
    </row>
    <row r="103" spans="1:7" x14ac:dyDescent="0.25">
      <c r="A103" t="str">
        <f>_xlfn.XLOOKUP('Raw Data'!A103,$M$2:$M$11,$N$2:$N$11,,1)</f>
        <v>23 - 28</v>
      </c>
      <c r="B103" t="str">
        <f>_xlfn.XLOOKUP('Raw Data'!B103,$Q$2:$Q$9,$R$2:$R$9,,1)</f>
        <v>0 - 5</v>
      </c>
      <c r="C103">
        <v>1</v>
      </c>
      <c r="D103" t="str">
        <f>_xlfn.XLOOKUP('Raw Data'!D103,$V$2:$V$5,$W$2:$W$5,,1)</f>
        <v>11 - 15</v>
      </c>
      <c r="E103">
        <v>2021</v>
      </c>
      <c r="F103" t="str">
        <f>_xlfn.XLOOKUP('Raw Data'!F103,$Q$2:$Q$9,$R$2:$R$9,,1)</f>
        <v>0 - 5</v>
      </c>
      <c r="G103">
        <v>496.75</v>
      </c>
    </row>
    <row r="104" spans="1:7" x14ac:dyDescent="0.25">
      <c r="A104" t="str">
        <f>_xlfn.XLOOKUP('Raw Data'!A104,$M$2:$M$11,$N$2:$N$11,,1)</f>
        <v>38 - 43</v>
      </c>
      <c r="B104" t="str">
        <f>_xlfn.XLOOKUP('Raw Data'!B104,$Q$2:$Q$9,$R$2:$R$9,,1)</f>
        <v>20 - 25</v>
      </c>
      <c r="C104">
        <v>1</v>
      </c>
      <c r="D104" t="str">
        <f>_xlfn.XLOOKUP('Raw Data'!D104,$V$2:$V$5,$W$2:$W$5,,1)</f>
        <v>23 - 27</v>
      </c>
      <c r="E104">
        <v>2017</v>
      </c>
      <c r="F104" t="str">
        <f>_xlfn.XLOOKUP('Raw Data'!F104,$Q$2:$Q$9,$R$2:$R$9,,1)</f>
        <v>5 - 10</v>
      </c>
      <c r="G104">
        <v>489</v>
      </c>
    </row>
    <row r="105" spans="1:7" x14ac:dyDescent="0.25">
      <c r="A105" t="str">
        <f>_xlfn.XLOOKUP('Raw Data'!A105,$M$2:$M$11,$N$2:$N$11,,1)</f>
        <v>23 - 28</v>
      </c>
      <c r="B105" t="str">
        <f>_xlfn.XLOOKUP('Raw Data'!B105,$Q$2:$Q$9,$R$2:$R$9,,1)</f>
        <v>0 - 5</v>
      </c>
      <c r="C105">
        <v>0</v>
      </c>
      <c r="D105" t="str">
        <f>_xlfn.XLOOKUP('Raw Data'!D105,$V$2:$V$5,$W$2:$W$5,,1)</f>
        <v>11 - 15</v>
      </c>
      <c r="E105">
        <v>2011</v>
      </c>
      <c r="F105" t="str">
        <f>_xlfn.XLOOKUP('Raw Data'!F105,$Q$2:$Q$9,$R$2:$R$9,,1)</f>
        <v>10 - 15</v>
      </c>
      <c r="G105">
        <v>496.2</v>
      </c>
    </row>
    <row r="106" spans="1:7" x14ac:dyDescent="0.25">
      <c r="A106" t="str">
        <f>_xlfn.XLOOKUP('Raw Data'!A106,$M$2:$M$11,$N$2:$N$11,,1)</f>
        <v>33 - 38</v>
      </c>
      <c r="B106" t="str">
        <f>_xlfn.XLOOKUP('Raw Data'!B106,$Q$2:$Q$9,$R$2:$R$9,,1)</f>
        <v>5 - 10</v>
      </c>
      <c r="C106">
        <v>4</v>
      </c>
      <c r="D106" t="str">
        <f>_xlfn.XLOOKUP('Raw Data'!D106,$V$2:$V$5,$W$2:$W$5,,1)</f>
        <v>23 - 27</v>
      </c>
      <c r="E106">
        <v>2006</v>
      </c>
      <c r="F106" t="str">
        <f>_xlfn.XLOOKUP('Raw Data'!F106,$Q$2:$Q$9,$R$2:$R$9,,1)</f>
        <v>15 - 20</v>
      </c>
      <c r="G106">
        <v>499.6</v>
      </c>
    </row>
    <row r="107" spans="1:7" x14ac:dyDescent="0.25">
      <c r="A107" t="str">
        <f>_xlfn.XLOOKUP('Raw Data'!A107,$M$2:$M$11,$N$2:$N$11,,1)</f>
        <v>23 - 28</v>
      </c>
      <c r="B107" t="str">
        <f>_xlfn.XLOOKUP('Raw Data'!B107,$Q$2:$Q$9,$R$2:$R$9,,1)</f>
        <v>0 - 5</v>
      </c>
      <c r="C107">
        <v>3</v>
      </c>
      <c r="D107" t="str">
        <f>_xlfn.XLOOKUP('Raw Data'!D107,$V$2:$V$5,$W$2:$W$5,,1)</f>
        <v>11 - 15</v>
      </c>
      <c r="E107">
        <v>2015</v>
      </c>
      <c r="F107" t="str">
        <f>_xlfn.XLOOKUP('Raw Data'!F107,$Q$2:$Q$9,$R$2:$R$9,,1)</f>
        <v>5 - 10</v>
      </c>
      <c r="G107">
        <v>500</v>
      </c>
    </row>
    <row r="108" spans="1:7" x14ac:dyDescent="0.25">
      <c r="A108" t="str">
        <f>_xlfn.XLOOKUP('Raw Data'!A108,$M$2:$M$11,$N$2:$N$11,,1)</f>
        <v>48 - 53</v>
      </c>
      <c r="B108" t="str">
        <f>_xlfn.XLOOKUP('Raw Data'!B108,$Q$2:$Q$9,$R$2:$R$9,,1)</f>
        <v>5 - 10</v>
      </c>
      <c r="C108">
        <v>1</v>
      </c>
      <c r="D108" t="str">
        <f>_xlfn.XLOOKUP('Raw Data'!D108,$V$2:$V$5,$W$2:$W$5,,1)</f>
        <v>19 - 23</v>
      </c>
      <c r="E108">
        <v>1996</v>
      </c>
      <c r="F108" t="str">
        <f>_xlfn.XLOOKUP('Raw Data'!F108,$Q$2:$Q$9,$R$2:$R$9,,1)</f>
        <v>25 - 30</v>
      </c>
      <c r="G108">
        <v>492.4</v>
      </c>
    </row>
    <row r="109" spans="1:7" x14ac:dyDescent="0.25">
      <c r="A109" t="str">
        <f>_xlfn.XLOOKUP('Raw Data'!A109,$M$2:$M$11,$N$2:$N$11,,1)</f>
        <v>48 - 53</v>
      </c>
      <c r="B109" t="str">
        <f>_xlfn.XLOOKUP('Raw Data'!B109,$Q$2:$Q$9,$R$2:$R$9,,1)</f>
        <v>30 - 35</v>
      </c>
      <c r="C109">
        <v>0</v>
      </c>
      <c r="D109" t="str">
        <f>_xlfn.XLOOKUP('Raw Data'!D109,$V$2:$V$5,$W$2:$W$5,,1)</f>
        <v>11 - 15</v>
      </c>
      <c r="E109">
        <v>2015</v>
      </c>
      <c r="F109" t="str">
        <f>_xlfn.XLOOKUP('Raw Data'!F109,$Q$2:$Q$9,$R$2:$R$9,,1)</f>
        <v>5 - 10</v>
      </c>
      <c r="G109">
        <v>481.55</v>
      </c>
    </row>
    <row r="110" spans="1:7" x14ac:dyDescent="0.25">
      <c r="A110" t="str">
        <f>_xlfn.XLOOKUP('Raw Data'!A110,$M$2:$M$11,$N$2:$N$11,,1)</f>
        <v>48 - 53</v>
      </c>
      <c r="B110" t="str">
        <f>_xlfn.XLOOKUP('Raw Data'!B110,$Q$2:$Q$9,$R$2:$R$9,,1)</f>
        <v>30 - 35</v>
      </c>
      <c r="C110">
        <v>5</v>
      </c>
      <c r="D110" t="str">
        <f>_xlfn.XLOOKUP('Raw Data'!D110,$V$2:$V$5,$W$2:$W$5,,1)</f>
        <v>15 - 19</v>
      </c>
      <c r="E110">
        <v>2014</v>
      </c>
      <c r="F110" t="str">
        <f>_xlfn.XLOOKUP('Raw Data'!F110,$Q$2:$Q$9,$R$2:$R$9,,1)</f>
        <v>10 - 15</v>
      </c>
      <c r="G110">
        <v>489.85</v>
      </c>
    </row>
    <row r="111" spans="1:7" x14ac:dyDescent="0.25">
      <c r="A111" t="str">
        <f>_xlfn.XLOOKUP('Raw Data'!A111,$M$2:$M$11,$N$2:$N$11,,1)</f>
        <v>18 - 23</v>
      </c>
      <c r="B111" t="str">
        <f>_xlfn.XLOOKUP('Raw Data'!B111,$Q$2:$Q$9,$R$2:$R$9,,1)</f>
        <v>0 - 5</v>
      </c>
      <c r="C111">
        <v>2</v>
      </c>
      <c r="D111" t="str">
        <f>_xlfn.XLOOKUP('Raw Data'!D111,$V$2:$V$5,$W$2:$W$5,,1)</f>
        <v>15 - 19</v>
      </c>
      <c r="E111">
        <v>1999</v>
      </c>
      <c r="F111" t="str">
        <f>_xlfn.XLOOKUP('Raw Data'!F111,$Q$2:$Q$9,$R$2:$R$9,,1)</f>
        <v>25 - 30</v>
      </c>
      <c r="G111">
        <v>500.95</v>
      </c>
    </row>
    <row r="112" spans="1:7" x14ac:dyDescent="0.25">
      <c r="A112" t="str">
        <f>_xlfn.XLOOKUP('Raw Data'!A112,$M$2:$M$11,$N$2:$N$11,,1)</f>
        <v>58 - 63</v>
      </c>
      <c r="B112" t="str">
        <f>_xlfn.XLOOKUP('Raw Data'!B112,$Q$2:$Q$9,$R$2:$R$9,,1)</f>
        <v>25 - 30</v>
      </c>
      <c r="C112">
        <v>3</v>
      </c>
      <c r="D112" t="str">
        <f>_xlfn.XLOOKUP('Raw Data'!D112,$V$2:$V$5,$W$2:$W$5,,1)</f>
        <v>11 - 15</v>
      </c>
      <c r="E112">
        <v>2008</v>
      </c>
      <c r="F112" t="str">
        <f>_xlfn.XLOOKUP('Raw Data'!F112,$Q$2:$Q$9,$R$2:$R$9,,1)</f>
        <v>15 - 20</v>
      </c>
      <c r="G112">
        <v>486.05</v>
      </c>
    </row>
    <row r="113" spans="1:7" x14ac:dyDescent="0.25">
      <c r="A113" t="str">
        <f>_xlfn.XLOOKUP('Raw Data'!A113,$M$2:$M$11,$N$2:$N$11,,1)</f>
        <v>53 - 58</v>
      </c>
      <c r="B113" t="str">
        <f>_xlfn.XLOOKUP('Raw Data'!B113,$Q$2:$Q$9,$R$2:$R$9,,1)</f>
        <v>30 - 35</v>
      </c>
      <c r="C113">
        <v>1</v>
      </c>
      <c r="D113" t="str">
        <f>_xlfn.XLOOKUP('Raw Data'!D113,$V$2:$V$5,$W$2:$W$5,,1)</f>
        <v>19 - 23</v>
      </c>
      <c r="E113">
        <v>2000</v>
      </c>
      <c r="F113" t="str">
        <f>_xlfn.XLOOKUP('Raw Data'!F113,$Q$2:$Q$9,$R$2:$R$9,,1)</f>
        <v>20 - 25</v>
      </c>
      <c r="G113">
        <v>483.4</v>
      </c>
    </row>
    <row r="114" spans="1:7" x14ac:dyDescent="0.25">
      <c r="A114" t="str">
        <f>_xlfn.XLOOKUP('Raw Data'!A114,$M$2:$M$11,$N$2:$N$11,,1)</f>
        <v>53 - 58</v>
      </c>
      <c r="B114" t="str">
        <f>_xlfn.XLOOKUP('Raw Data'!B114,$Q$2:$Q$9,$R$2:$R$9,,1)</f>
        <v>20 - 25</v>
      </c>
      <c r="C114">
        <v>4</v>
      </c>
      <c r="D114" t="str">
        <f>_xlfn.XLOOKUP('Raw Data'!D114,$V$2:$V$5,$W$2:$W$5,,1)</f>
        <v>19 - 23</v>
      </c>
      <c r="E114">
        <v>2002</v>
      </c>
      <c r="F114" t="str">
        <f>_xlfn.XLOOKUP('Raw Data'!F114,$Q$2:$Q$9,$R$2:$R$9,,1)</f>
        <v>20 - 25</v>
      </c>
      <c r="G114">
        <v>490.95</v>
      </c>
    </row>
    <row r="115" spans="1:7" x14ac:dyDescent="0.25">
      <c r="A115" t="str">
        <f>_xlfn.XLOOKUP('Raw Data'!A115,$M$2:$M$11,$N$2:$N$11,,1)</f>
        <v>43 - 48</v>
      </c>
      <c r="B115" t="str">
        <f>_xlfn.XLOOKUP('Raw Data'!B115,$Q$2:$Q$9,$R$2:$R$9,,1)</f>
        <v>10 - 15</v>
      </c>
      <c r="C115">
        <v>0</v>
      </c>
      <c r="D115" t="str">
        <f>_xlfn.XLOOKUP('Raw Data'!D115,$V$2:$V$5,$W$2:$W$5,,1)</f>
        <v>23 - 27</v>
      </c>
      <c r="E115">
        <v>1997</v>
      </c>
      <c r="F115" t="str">
        <f>_xlfn.XLOOKUP('Raw Data'!F115,$Q$2:$Q$9,$R$2:$R$9,,1)</f>
        <v>25 - 30</v>
      </c>
      <c r="G115">
        <v>490.85</v>
      </c>
    </row>
    <row r="116" spans="1:7" x14ac:dyDescent="0.25">
      <c r="A116" t="str">
        <f>_xlfn.XLOOKUP('Raw Data'!A116,$M$2:$M$11,$N$2:$N$11,,1)</f>
        <v>23 - 28</v>
      </c>
      <c r="B116" t="str">
        <f>_xlfn.XLOOKUP('Raw Data'!B116,$Q$2:$Q$9,$R$2:$R$9,,1)</f>
        <v>5 - 10</v>
      </c>
      <c r="C116">
        <v>1</v>
      </c>
      <c r="D116" t="str">
        <f>_xlfn.XLOOKUP('Raw Data'!D116,$V$2:$V$5,$W$2:$W$5,,1)</f>
        <v>11 - 15</v>
      </c>
      <c r="E116">
        <v>1993</v>
      </c>
      <c r="F116" t="str">
        <f>_xlfn.XLOOKUP('Raw Data'!F116,$Q$2:$Q$9,$R$2:$R$9,,1)</f>
        <v>30 - 35</v>
      </c>
      <c r="G116">
        <v>498.7</v>
      </c>
    </row>
    <row r="117" spans="1:7" x14ac:dyDescent="0.25">
      <c r="A117" t="str">
        <f>_xlfn.XLOOKUP('Raw Data'!A117,$M$2:$M$11,$N$2:$N$11,,1)</f>
        <v>23 - 28</v>
      </c>
      <c r="B117" t="str">
        <f>_xlfn.XLOOKUP('Raw Data'!B117,$Q$2:$Q$9,$R$2:$R$9,,1)</f>
        <v>5 - 10</v>
      </c>
      <c r="C117">
        <v>4</v>
      </c>
      <c r="D117" t="str">
        <f>_xlfn.XLOOKUP('Raw Data'!D117,$V$2:$V$5,$W$2:$W$5,,1)</f>
        <v>11 - 15</v>
      </c>
      <c r="E117">
        <v>2020</v>
      </c>
      <c r="F117" t="str">
        <f>_xlfn.XLOOKUP('Raw Data'!F117,$Q$2:$Q$9,$R$2:$R$9,,1)</f>
        <v>0 - 5</v>
      </c>
      <c r="G117">
        <v>499.85</v>
      </c>
    </row>
    <row r="118" spans="1:7" x14ac:dyDescent="0.25">
      <c r="A118" t="str">
        <f>_xlfn.XLOOKUP('Raw Data'!A118,$M$2:$M$11,$N$2:$N$11,,1)</f>
        <v>23 - 28</v>
      </c>
      <c r="B118" t="str">
        <f>_xlfn.XLOOKUP('Raw Data'!B118,$Q$2:$Q$9,$R$2:$R$9,,1)</f>
        <v>0 - 5</v>
      </c>
      <c r="C118">
        <v>1</v>
      </c>
      <c r="D118" t="str">
        <f>_xlfn.XLOOKUP('Raw Data'!D118,$V$2:$V$5,$W$2:$W$5,,1)</f>
        <v>11 - 15</v>
      </c>
      <c r="E118">
        <v>2017</v>
      </c>
      <c r="F118" t="str">
        <f>_xlfn.XLOOKUP('Raw Data'!F118,$Q$2:$Q$9,$R$2:$R$9,,1)</f>
        <v>5 - 10</v>
      </c>
      <c r="G118">
        <v>496.65</v>
      </c>
    </row>
    <row r="119" spans="1:7" x14ac:dyDescent="0.25">
      <c r="A119" t="str">
        <f>_xlfn.XLOOKUP('Raw Data'!A119,$M$2:$M$11,$N$2:$N$11,,1)</f>
        <v>28 - 33</v>
      </c>
      <c r="B119" t="str">
        <f>_xlfn.XLOOKUP('Raw Data'!B119,$Q$2:$Q$9,$R$2:$R$9,,1)</f>
        <v>10 - 15</v>
      </c>
      <c r="C119">
        <v>3</v>
      </c>
      <c r="D119" t="str">
        <f>_xlfn.XLOOKUP('Raw Data'!D119,$V$2:$V$5,$W$2:$W$5,,1)</f>
        <v>15 - 19</v>
      </c>
      <c r="E119">
        <v>2000</v>
      </c>
      <c r="F119" t="str">
        <f>_xlfn.XLOOKUP('Raw Data'!F119,$Q$2:$Q$9,$R$2:$R$9,,1)</f>
        <v>20 - 25</v>
      </c>
      <c r="G119">
        <v>498.7</v>
      </c>
    </row>
    <row r="120" spans="1:7" x14ac:dyDescent="0.25">
      <c r="A120" t="str">
        <f>_xlfn.XLOOKUP('Raw Data'!A120,$M$2:$M$11,$N$2:$N$11,,1)</f>
        <v>48 - 53</v>
      </c>
      <c r="B120" t="str">
        <f>_xlfn.XLOOKUP('Raw Data'!B120,$Q$2:$Q$9,$R$2:$R$9,,1)</f>
        <v>0 - 5</v>
      </c>
      <c r="C120">
        <v>3</v>
      </c>
      <c r="D120" t="str">
        <f>_xlfn.XLOOKUP('Raw Data'!D120,$V$2:$V$5,$W$2:$W$5,,1)</f>
        <v>19 - 23</v>
      </c>
      <c r="E120">
        <v>1990</v>
      </c>
      <c r="F120" t="str">
        <f>_xlfn.XLOOKUP('Raw Data'!F120,$Q$2:$Q$9,$R$2:$R$9,,1)</f>
        <v>30 - 35</v>
      </c>
      <c r="G120">
        <v>497.95</v>
      </c>
    </row>
    <row r="121" spans="1:7" x14ac:dyDescent="0.25">
      <c r="A121" t="str">
        <f>_xlfn.XLOOKUP('Raw Data'!A121,$M$2:$M$11,$N$2:$N$11,,1)</f>
        <v>48 - 53</v>
      </c>
      <c r="B121" t="str">
        <f>_xlfn.XLOOKUP('Raw Data'!B121,$Q$2:$Q$9,$R$2:$R$9,,1)</f>
        <v>10 - 15</v>
      </c>
      <c r="C121">
        <v>3</v>
      </c>
      <c r="D121" t="str">
        <f>_xlfn.XLOOKUP('Raw Data'!D121,$V$2:$V$5,$W$2:$W$5,,1)</f>
        <v>19 - 23</v>
      </c>
      <c r="E121">
        <v>2013</v>
      </c>
      <c r="F121" t="str">
        <f>_xlfn.XLOOKUP('Raw Data'!F121,$Q$2:$Q$9,$R$2:$R$9,,1)</f>
        <v>10 - 15</v>
      </c>
      <c r="G121">
        <v>493.45</v>
      </c>
    </row>
    <row r="122" spans="1:7" x14ac:dyDescent="0.25">
      <c r="A122" t="str">
        <f>_xlfn.XLOOKUP('Raw Data'!A122,$M$2:$M$11,$N$2:$N$11,,1)</f>
        <v>63 - 68</v>
      </c>
      <c r="B122" t="str">
        <f>_xlfn.XLOOKUP('Raw Data'!B122,$Q$2:$Q$9,$R$2:$R$9,,1)</f>
        <v>0 - 5</v>
      </c>
      <c r="C122">
        <v>5</v>
      </c>
      <c r="D122" t="str">
        <f>_xlfn.XLOOKUP('Raw Data'!D122,$V$2:$V$5,$W$2:$W$5,,1)</f>
        <v>15 - 19</v>
      </c>
      <c r="E122">
        <v>2020</v>
      </c>
      <c r="F122" t="str">
        <f>_xlfn.XLOOKUP('Raw Data'!F122,$Q$2:$Q$9,$R$2:$R$9,,1)</f>
        <v>0 - 5</v>
      </c>
      <c r="G122">
        <v>495.55</v>
      </c>
    </row>
    <row r="123" spans="1:7" x14ac:dyDescent="0.25">
      <c r="A123" t="str">
        <f>_xlfn.XLOOKUP('Raw Data'!A123,$M$2:$M$11,$N$2:$N$11,,1)</f>
        <v>38 - 43</v>
      </c>
      <c r="B123" t="str">
        <f>_xlfn.XLOOKUP('Raw Data'!B123,$Q$2:$Q$9,$R$2:$R$9,,1)</f>
        <v>20 - 25</v>
      </c>
      <c r="C123">
        <v>5</v>
      </c>
      <c r="D123" t="str">
        <f>_xlfn.XLOOKUP('Raw Data'!D123,$V$2:$V$5,$W$2:$W$5,,1)</f>
        <v>19 - 23</v>
      </c>
      <c r="E123">
        <v>2015</v>
      </c>
      <c r="F123" t="str">
        <f>_xlfn.XLOOKUP('Raw Data'!F123,$Q$2:$Q$9,$R$2:$R$9,,1)</f>
        <v>5 - 10</v>
      </c>
      <c r="G123">
        <v>494.95</v>
      </c>
    </row>
    <row r="124" spans="1:7" x14ac:dyDescent="0.25">
      <c r="A124" t="str">
        <f>_xlfn.XLOOKUP('Raw Data'!A124,$M$2:$M$11,$N$2:$N$11,,1)</f>
        <v>38 - 43</v>
      </c>
      <c r="B124" t="str">
        <f>_xlfn.XLOOKUP('Raw Data'!B124,$Q$2:$Q$9,$R$2:$R$9,,1)</f>
        <v>20 - 25</v>
      </c>
      <c r="C124">
        <v>0</v>
      </c>
      <c r="D124" t="str">
        <f>_xlfn.XLOOKUP('Raw Data'!D124,$V$2:$V$5,$W$2:$W$5,,1)</f>
        <v>19 - 23</v>
      </c>
      <c r="E124">
        <v>1994</v>
      </c>
      <c r="F124" t="str">
        <f>_xlfn.XLOOKUP('Raw Data'!F124,$Q$2:$Q$9,$R$2:$R$9,,1)</f>
        <v>30 - 35</v>
      </c>
      <c r="G124">
        <v>489.05</v>
      </c>
    </row>
    <row r="125" spans="1:7" x14ac:dyDescent="0.25">
      <c r="A125" t="str">
        <f>_xlfn.XLOOKUP('Raw Data'!A125,$M$2:$M$11,$N$2:$N$11,,1)</f>
        <v>53 - 58</v>
      </c>
      <c r="B125" t="str">
        <f>_xlfn.XLOOKUP('Raw Data'!B125,$Q$2:$Q$9,$R$2:$R$9,,1)</f>
        <v>30 - 35</v>
      </c>
      <c r="C125">
        <v>3</v>
      </c>
      <c r="D125" t="str">
        <f>_xlfn.XLOOKUP('Raw Data'!D125,$V$2:$V$5,$W$2:$W$5,,1)</f>
        <v>11 - 15</v>
      </c>
      <c r="E125">
        <v>2009</v>
      </c>
      <c r="F125" t="str">
        <f>_xlfn.XLOOKUP('Raw Data'!F125,$Q$2:$Q$9,$R$2:$R$9,,1)</f>
        <v>15 - 20</v>
      </c>
      <c r="G125">
        <v>485.4</v>
      </c>
    </row>
    <row r="126" spans="1:7" x14ac:dyDescent="0.25">
      <c r="A126" t="str">
        <f>_xlfn.XLOOKUP('Raw Data'!A126,$M$2:$M$11,$N$2:$N$11,,1)</f>
        <v>48 - 53</v>
      </c>
      <c r="B126" t="str">
        <f>_xlfn.XLOOKUP('Raw Data'!B126,$Q$2:$Q$9,$R$2:$R$9,,1)</f>
        <v>30 - 35</v>
      </c>
      <c r="C126">
        <v>4</v>
      </c>
      <c r="D126" t="str">
        <f>_xlfn.XLOOKUP('Raw Data'!D126,$V$2:$V$5,$W$2:$W$5,,1)</f>
        <v>15 - 19</v>
      </c>
      <c r="E126">
        <v>2000</v>
      </c>
      <c r="F126" t="str">
        <f>_xlfn.XLOOKUP('Raw Data'!F126,$Q$2:$Q$9,$R$2:$R$9,,1)</f>
        <v>20 - 25</v>
      </c>
      <c r="G126">
        <v>488.8</v>
      </c>
    </row>
    <row r="127" spans="1:7" x14ac:dyDescent="0.25">
      <c r="A127" t="str">
        <f>_xlfn.XLOOKUP('Raw Data'!A127,$M$2:$M$11,$N$2:$N$11,,1)</f>
        <v>58 - 63</v>
      </c>
      <c r="B127" t="str">
        <f>_xlfn.XLOOKUP('Raw Data'!B127,$Q$2:$Q$9,$R$2:$R$9,,1)</f>
        <v>20 - 25</v>
      </c>
      <c r="C127">
        <v>1</v>
      </c>
      <c r="D127" t="str">
        <f>_xlfn.XLOOKUP('Raw Data'!D127,$V$2:$V$5,$W$2:$W$5,,1)</f>
        <v>23 - 27</v>
      </c>
      <c r="E127">
        <v>2022</v>
      </c>
      <c r="F127" t="str">
        <f>_xlfn.XLOOKUP('Raw Data'!F127,$Q$2:$Q$9,$R$2:$R$9,,1)</f>
        <v>0 - 5</v>
      </c>
      <c r="G127">
        <v>483.3</v>
      </c>
    </row>
    <row r="128" spans="1:7" x14ac:dyDescent="0.25">
      <c r="A128" t="str">
        <f>_xlfn.XLOOKUP('Raw Data'!A128,$M$2:$M$11,$N$2:$N$11,,1)</f>
        <v>53 - 58</v>
      </c>
      <c r="B128" t="str">
        <f>_xlfn.XLOOKUP('Raw Data'!B128,$Q$2:$Q$9,$R$2:$R$9,,1)</f>
        <v>25 - 30</v>
      </c>
      <c r="C128">
        <v>2</v>
      </c>
      <c r="D128" t="str">
        <f>_xlfn.XLOOKUP('Raw Data'!D128,$V$2:$V$5,$W$2:$W$5,,1)</f>
        <v>15 - 19</v>
      </c>
      <c r="E128">
        <v>2016</v>
      </c>
      <c r="F128" t="str">
        <f>_xlfn.XLOOKUP('Raw Data'!F128,$Q$2:$Q$9,$R$2:$R$9,,1)</f>
        <v>5 - 10</v>
      </c>
      <c r="G128">
        <v>485.5</v>
      </c>
    </row>
    <row r="129" spans="1:7" x14ac:dyDescent="0.25">
      <c r="A129" t="str">
        <f>_xlfn.XLOOKUP('Raw Data'!A129,$M$2:$M$11,$N$2:$N$11,,1)</f>
        <v>38 - 43</v>
      </c>
      <c r="B129" t="str">
        <f>_xlfn.XLOOKUP('Raw Data'!B129,$Q$2:$Q$9,$R$2:$R$9,,1)</f>
        <v>0 - 5</v>
      </c>
      <c r="C129">
        <v>4</v>
      </c>
      <c r="D129" t="str">
        <f>_xlfn.XLOOKUP('Raw Data'!D129,$V$2:$V$5,$W$2:$W$5,,1)</f>
        <v>23 - 27</v>
      </c>
      <c r="E129">
        <v>2023</v>
      </c>
      <c r="F129" t="str">
        <f>_xlfn.XLOOKUP('Raw Data'!F129,$Q$2:$Q$9,$R$2:$R$9,,1)</f>
        <v>0 - 5</v>
      </c>
      <c r="G129">
        <v>498.4</v>
      </c>
    </row>
    <row r="130" spans="1:7" x14ac:dyDescent="0.25">
      <c r="A130" t="str">
        <f>_xlfn.XLOOKUP('Raw Data'!A130,$M$2:$M$11,$N$2:$N$11,,1)</f>
        <v>43 - 48</v>
      </c>
      <c r="B130" t="str">
        <f>_xlfn.XLOOKUP('Raw Data'!B130,$Q$2:$Q$9,$R$2:$R$9,,1)</f>
        <v>15 - 20</v>
      </c>
      <c r="C130">
        <v>5</v>
      </c>
      <c r="D130" t="str">
        <f>_xlfn.XLOOKUP('Raw Data'!D130,$V$2:$V$5,$W$2:$W$5,,1)</f>
        <v>11 - 15</v>
      </c>
      <c r="E130">
        <v>2004</v>
      </c>
      <c r="F130" t="str">
        <f>_xlfn.XLOOKUP('Raw Data'!F130,$Q$2:$Q$9,$R$2:$R$9,,1)</f>
        <v>20 - 25</v>
      </c>
      <c r="G130">
        <v>495.8</v>
      </c>
    </row>
    <row r="131" spans="1:7" x14ac:dyDescent="0.25">
      <c r="A131" t="str">
        <f>_xlfn.XLOOKUP('Raw Data'!A131,$M$2:$M$11,$N$2:$N$11,,1)</f>
        <v>48 - 53</v>
      </c>
      <c r="B131" t="str">
        <f>_xlfn.XLOOKUP('Raw Data'!B131,$Q$2:$Q$9,$R$2:$R$9,,1)</f>
        <v>5 - 10</v>
      </c>
      <c r="C131">
        <v>5</v>
      </c>
      <c r="D131" t="str">
        <f>_xlfn.XLOOKUP('Raw Data'!D131,$V$2:$V$5,$W$2:$W$5,,1)</f>
        <v>11 - 15</v>
      </c>
      <c r="E131">
        <v>2021</v>
      </c>
      <c r="F131" t="str">
        <f>_xlfn.XLOOKUP('Raw Data'!F131,$Q$2:$Q$9,$R$2:$R$9,,1)</f>
        <v>0 - 5</v>
      </c>
      <c r="G131">
        <v>495.25</v>
      </c>
    </row>
    <row r="132" spans="1:7" x14ac:dyDescent="0.25">
      <c r="A132" t="str">
        <f>_xlfn.XLOOKUP('Raw Data'!A132,$M$2:$M$11,$N$2:$N$11,,1)</f>
        <v>18 - 23</v>
      </c>
      <c r="B132" t="str">
        <f>_xlfn.XLOOKUP('Raw Data'!B132,$Q$2:$Q$9,$R$2:$R$9,,1)</f>
        <v>0 - 5</v>
      </c>
      <c r="C132">
        <v>4</v>
      </c>
      <c r="D132" t="str">
        <f>_xlfn.XLOOKUP('Raw Data'!D132,$V$2:$V$5,$W$2:$W$5,,1)</f>
        <v>15 - 19</v>
      </c>
      <c r="E132">
        <v>2010</v>
      </c>
      <c r="F132" t="str">
        <f>_xlfn.XLOOKUP('Raw Data'!F132,$Q$2:$Q$9,$R$2:$R$9,,1)</f>
        <v>10 - 15</v>
      </c>
      <c r="G132">
        <v>504.8</v>
      </c>
    </row>
    <row r="133" spans="1:7" x14ac:dyDescent="0.25">
      <c r="A133" t="str">
        <f>_xlfn.XLOOKUP('Raw Data'!A133,$M$2:$M$11,$N$2:$N$11,,1)</f>
        <v>48 - 53</v>
      </c>
      <c r="B133" t="str">
        <f>_xlfn.XLOOKUP('Raw Data'!B133,$Q$2:$Q$9,$R$2:$R$9,,1)</f>
        <v>30 - 35</v>
      </c>
      <c r="C133">
        <v>5</v>
      </c>
      <c r="D133" t="str">
        <f>_xlfn.XLOOKUP('Raw Data'!D133,$V$2:$V$5,$W$2:$W$5,,1)</f>
        <v>23 - 27</v>
      </c>
      <c r="E133">
        <v>1994</v>
      </c>
      <c r="F133" t="str">
        <f>_xlfn.XLOOKUP('Raw Data'!F133,$Q$2:$Q$9,$R$2:$R$9,,1)</f>
        <v>30 - 35</v>
      </c>
      <c r="G133">
        <v>491.2</v>
      </c>
    </row>
    <row r="134" spans="1:7" x14ac:dyDescent="0.25">
      <c r="A134" t="str">
        <f>_xlfn.XLOOKUP('Raw Data'!A134,$M$2:$M$11,$N$2:$N$11,,1)</f>
        <v>53 - 58</v>
      </c>
      <c r="B134" t="str">
        <f>_xlfn.XLOOKUP('Raw Data'!B134,$Q$2:$Q$9,$R$2:$R$9,,1)</f>
        <v>35 - 40</v>
      </c>
      <c r="C134">
        <v>3</v>
      </c>
      <c r="D134" t="str">
        <f>_xlfn.XLOOKUP('Raw Data'!D134,$V$2:$V$5,$W$2:$W$5,,1)</f>
        <v>11 - 15</v>
      </c>
      <c r="E134">
        <v>1995</v>
      </c>
      <c r="F134" t="str">
        <f>_xlfn.XLOOKUP('Raw Data'!F134,$Q$2:$Q$9,$R$2:$R$9,,1)</f>
        <v>25 - 30</v>
      </c>
      <c r="G134">
        <v>486.55</v>
      </c>
    </row>
    <row r="135" spans="1:7" x14ac:dyDescent="0.25">
      <c r="A135" t="str">
        <f>_xlfn.XLOOKUP('Raw Data'!A135,$M$2:$M$11,$N$2:$N$11,,1)</f>
        <v>63 - 68</v>
      </c>
      <c r="B135" t="str">
        <f>_xlfn.XLOOKUP('Raw Data'!B135,$Q$2:$Q$9,$R$2:$R$9,,1)</f>
        <v>0 - 5</v>
      </c>
      <c r="C135">
        <v>0</v>
      </c>
      <c r="D135" t="str">
        <f>_xlfn.XLOOKUP('Raw Data'!D135,$V$2:$V$5,$W$2:$W$5,,1)</f>
        <v>11 - 15</v>
      </c>
      <c r="E135">
        <v>2011</v>
      </c>
      <c r="F135" t="str">
        <f>_xlfn.XLOOKUP('Raw Data'!F135,$Q$2:$Q$9,$R$2:$R$9,,1)</f>
        <v>10 - 15</v>
      </c>
      <c r="G135">
        <v>487.75</v>
      </c>
    </row>
    <row r="136" spans="1:7" x14ac:dyDescent="0.25">
      <c r="A136" t="str">
        <f>_xlfn.XLOOKUP('Raw Data'!A136,$M$2:$M$11,$N$2:$N$11,,1)</f>
        <v>28 - 33</v>
      </c>
      <c r="B136" t="str">
        <f>_xlfn.XLOOKUP('Raw Data'!B136,$Q$2:$Q$9,$R$2:$R$9,,1)</f>
        <v>5 - 10</v>
      </c>
      <c r="C136">
        <v>1</v>
      </c>
      <c r="D136" t="str">
        <f>_xlfn.XLOOKUP('Raw Data'!D136,$V$2:$V$5,$W$2:$W$5,,1)</f>
        <v>23 - 27</v>
      </c>
      <c r="E136">
        <v>2007</v>
      </c>
      <c r="F136" t="str">
        <f>_xlfn.XLOOKUP('Raw Data'!F136,$Q$2:$Q$9,$R$2:$R$9,,1)</f>
        <v>15 - 20</v>
      </c>
      <c r="G136">
        <v>496.2</v>
      </c>
    </row>
    <row r="137" spans="1:7" x14ac:dyDescent="0.25">
      <c r="A137" t="str">
        <f>_xlfn.XLOOKUP('Raw Data'!A137,$M$2:$M$11,$N$2:$N$11,,1)</f>
        <v>18 - 23</v>
      </c>
      <c r="B137" t="str">
        <f>_xlfn.XLOOKUP('Raw Data'!B137,$Q$2:$Q$9,$R$2:$R$9,,1)</f>
        <v>0 - 5</v>
      </c>
      <c r="C137">
        <v>0</v>
      </c>
      <c r="D137" t="str">
        <f>_xlfn.XLOOKUP('Raw Data'!D137,$V$2:$V$5,$W$2:$W$5,,1)</f>
        <v>23 - 27</v>
      </c>
      <c r="E137">
        <v>2003</v>
      </c>
      <c r="F137" t="str">
        <f>_xlfn.XLOOKUP('Raw Data'!F137,$Q$2:$Q$9,$R$2:$R$9,,1)</f>
        <v>20 - 25</v>
      </c>
      <c r="G137">
        <v>498.85</v>
      </c>
    </row>
    <row r="138" spans="1:7" x14ac:dyDescent="0.25">
      <c r="A138" t="str">
        <f>_xlfn.XLOOKUP('Raw Data'!A138,$M$2:$M$11,$N$2:$N$11,,1)</f>
        <v>18 - 23</v>
      </c>
      <c r="B138" t="str">
        <f>_xlfn.XLOOKUP('Raw Data'!B138,$Q$2:$Q$9,$R$2:$R$9,,1)</f>
        <v>0 - 5</v>
      </c>
      <c r="C138">
        <v>1</v>
      </c>
      <c r="D138" t="str">
        <f>_xlfn.XLOOKUP('Raw Data'!D138,$V$2:$V$5,$W$2:$W$5,,1)</f>
        <v>23 - 27</v>
      </c>
      <c r="E138">
        <v>1999</v>
      </c>
      <c r="F138" t="str">
        <f>_xlfn.XLOOKUP('Raw Data'!F138,$Q$2:$Q$9,$R$2:$R$9,,1)</f>
        <v>25 - 30</v>
      </c>
      <c r="G138">
        <v>501.7</v>
      </c>
    </row>
    <row r="139" spans="1:7" x14ac:dyDescent="0.25">
      <c r="A139" t="str">
        <f>_xlfn.XLOOKUP('Raw Data'!A139,$M$2:$M$11,$N$2:$N$11,,1)</f>
        <v>18 - 23</v>
      </c>
      <c r="B139" t="str">
        <f>_xlfn.XLOOKUP('Raw Data'!B139,$Q$2:$Q$9,$R$2:$R$9,,1)</f>
        <v>0 - 5</v>
      </c>
      <c r="C139">
        <v>1</v>
      </c>
      <c r="D139" t="str">
        <f>_xlfn.XLOOKUP('Raw Data'!D139,$V$2:$V$5,$W$2:$W$5,,1)</f>
        <v>19 - 23</v>
      </c>
      <c r="E139">
        <v>2002</v>
      </c>
      <c r="F139" t="str">
        <f>_xlfn.XLOOKUP('Raw Data'!F139,$Q$2:$Q$9,$R$2:$R$9,,1)</f>
        <v>20 - 25</v>
      </c>
      <c r="G139">
        <v>499.25</v>
      </c>
    </row>
    <row r="140" spans="1:7" x14ac:dyDescent="0.25">
      <c r="A140" t="str">
        <f>_xlfn.XLOOKUP('Raw Data'!A140,$M$2:$M$11,$N$2:$N$11,,1)</f>
        <v>38 - 43</v>
      </c>
      <c r="B140" t="str">
        <f>_xlfn.XLOOKUP('Raw Data'!B140,$Q$2:$Q$9,$R$2:$R$9,,1)</f>
        <v>20 - 25</v>
      </c>
      <c r="C140">
        <v>0</v>
      </c>
      <c r="D140" t="str">
        <f>_xlfn.XLOOKUP('Raw Data'!D140,$V$2:$V$5,$W$2:$W$5,,1)</f>
        <v>11 - 15</v>
      </c>
      <c r="E140">
        <v>2020</v>
      </c>
      <c r="F140" t="str">
        <f>_xlfn.XLOOKUP('Raw Data'!F140,$Q$2:$Q$9,$R$2:$R$9,,1)</f>
        <v>0 - 5</v>
      </c>
      <c r="G140">
        <v>485.1</v>
      </c>
    </row>
    <row r="141" spans="1:7" x14ac:dyDescent="0.25">
      <c r="A141" t="str">
        <f>_xlfn.XLOOKUP('Raw Data'!A141,$M$2:$M$11,$N$2:$N$11,,1)</f>
        <v>28 - 33</v>
      </c>
      <c r="B141" t="str">
        <f>_xlfn.XLOOKUP('Raw Data'!B141,$Q$2:$Q$9,$R$2:$R$9,,1)</f>
        <v>10 - 15</v>
      </c>
      <c r="C141">
        <v>4</v>
      </c>
      <c r="D141" t="str">
        <f>_xlfn.XLOOKUP('Raw Data'!D141,$V$2:$V$5,$W$2:$W$5,,1)</f>
        <v>11 - 15</v>
      </c>
      <c r="E141">
        <v>2019</v>
      </c>
      <c r="F141" t="str">
        <f>_xlfn.XLOOKUP('Raw Data'!F141,$Q$2:$Q$9,$R$2:$R$9,,1)</f>
        <v>5 - 10</v>
      </c>
      <c r="G141">
        <v>497.35</v>
      </c>
    </row>
    <row r="142" spans="1:7" x14ac:dyDescent="0.25">
      <c r="A142" t="str">
        <f>_xlfn.XLOOKUP('Raw Data'!A142,$M$2:$M$11,$N$2:$N$11,,1)</f>
        <v>53 - 58</v>
      </c>
      <c r="B142" t="str">
        <f>_xlfn.XLOOKUP('Raw Data'!B142,$Q$2:$Q$9,$R$2:$R$9,,1)</f>
        <v>35 - 40</v>
      </c>
      <c r="C142">
        <v>1</v>
      </c>
      <c r="D142" t="str">
        <f>_xlfn.XLOOKUP('Raw Data'!D142,$V$2:$V$5,$W$2:$W$5,,1)</f>
        <v>15 - 19</v>
      </c>
      <c r="E142">
        <v>1992</v>
      </c>
      <c r="F142" t="str">
        <f>_xlfn.XLOOKUP('Raw Data'!F142,$Q$2:$Q$9,$R$2:$R$9,,1)</f>
        <v>30 - 35</v>
      </c>
      <c r="G142">
        <v>483.15</v>
      </c>
    </row>
    <row r="143" spans="1:7" x14ac:dyDescent="0.25">
      <c r="A143" t="str">
        <f>_xlfn.XLOOKUP('Raw Data'!A143,$M$2:$M$11,$N$2:$N$11,,1)</f>
        <v>43 - 48</v>
      </c>
      <c r="B143" t="str">
        <f>_xlfn.XLOOKUP('Raw Data'!B143,$Q$2:$Q$9,$R$2:$R$9,,1)</f>
        <v>15 - 20</v>
      </c>
      <c r="C143">
        <v>0</v>
      </c>
      <c r="D143" t="str">
        <f>_xlfn.XLOOKUP('Raw Data'!D143,$V$2:$V$5,$W$2:$W$5,,1)</f>
        <v>15 - 19</v>
      </c>
      <c r="E143">
        <v>2019</v>
      </c>
      <c r="F143" t="str">
        <f>_xlfn.XLOOKUP('Raw Data'!F143,$Q$2:$Q$9,$R$2:$R$9,,1)</f>
        <v>5 - 10</v>
      </c>
      <c r="G143">
        <v>487.6</v>
      </c>
    </row>
    <row r="144" spans="1:7" x14ac:dyDescent="0.25">
      <c r="A144" t="str">
        <f>_xlfn.XLOOKUP('Raw Data'!A144,$M$2:$M$11,$N$2:$N$11,,1)</f>
        <v>23 - 28</v>
      </c>
      <c r="B144" t="str">
        <f>_xlfn.XLOOKUP('Raw Data'!B144,$Q$2:$Q$9,$R$2:$R$9,,1)</f>
        <v>5 - 10</v>
      </c>
      <c r="C144">
        <v>1</v>
      </c>
      <c r="D144" t="str">
        <f>_xlfn.XLOOKUP('Raw Data'!D144,$V$2:$V$5,$W$2:$W$5,,1)</f>
        <v>15 - 19</v>
      </c>
      <c r="E144">
        <v>1995</v>
      </c>
      <c r="F144" t="str">
        <f>_xlfn.XLOOKUP('Raw Data'!F144,$Q$2:$Q$9,$R$2:$R$9,,1)</f>
        <v>25 - 30</v>
      </c>
      <c r="G144">
        <v>497.8</v>
      </c>
    </row>
    <row r="145" spans="1:7" x14ac:dyDescent="0.25">
      <c r="A145" t="str">
        <f>_xlfn.XLOOKUP('Raw Data'!A145,$M$2:$M$11,$N$2:$N$11,,1)</f>
        <v>28 - 33</v>
      </c>
      <c r="B145" t="str">
        <f>_xlfn.XLOOKUP('Raw Data'!B145,$Q$2:$Q$9,$R$2:$R$9,,1)</f>
        <v>10 - 15</v>
      </c>
      <c r="C145">
        <v>2</v>
      </c>
      <c r="D145" t="str">
        <f>_xlfn.XLOOKUP('Raw Data'!D145,$V$2:$V$5,$W$2:$W$5,,1)</f>
        <v>23 - 27</v>
      </c>
      <c r="E145">
        <v>2018</v>
      </c>
      <c r="F145" t="str">
        <f>_xlfn.XLOOKUP('Raw Data'!F145,$Q$2:$Q$9,$R$2:$R$9,,1)</f>
        <v>5 - 10</v>
      </c>
      <c r="G145">
        <v>494.3</v>
      </c>
    </row>
    <row r="146" spans="1:7" x14ac:dyDescent="0.25">
      <c r="A146" t="str">
        <f>_xlfn.XLOOKUP('Raw Data'!A146,$M$2:$M$11,$N$2:$N$11,,1)</f>
        <v>28 - 33</v>
      </c>
      <c r="B146" t="str">
        <f>_xlfn.XLOOKUP('Raw Data'!B146,$Q$2:$Q$9,$R$2:$R$9,,1)</f>
        <v>10 - 15</v>
      </c>
      <c r="C146">
        <v>4</v>
      </c>
      <c r="D146" t="str">
        <f>_xlfn.XLOOKUP('Raw Data'!D146,$V$2:$V$5,$W$2:$W$5,,1)</f>
        <v>19 - 23</v>
      </c>
      <c r="E146">
        <v>1997</v>
      </c>
      <c r="F146" t="str">
        <f>_xlfn.XLOOKUP('Raw Data'!F146,$Q$2:$Q$9,$R$2:$R$9,,1)</f>
        <v>25 - 30</v>
      </c>
      <c r="G146">
        <v>499.2</v>
      </c>
    </row>
    <row r="147" spans="1:7" x14ac:dyDescent="0.25">
      <c r="A147" t="str">
        <f>_xlfn.XLOOKUP('Raw Data'!A147,$M$2:$M$11,$N$2:$N$11,,1)</f>
        <v>38 - 43</v>
      </c>
      <c r="B147" t="str">
        <f>_xlfn.XLOOKUP('Raw Data'!B147,$Q$2:$Q$9,$R$2:$R$9,,1)</f>
        <v>10 - 15</v>
      </c>
      <c r="C147">
        <v>3</v>
      </c>
      <c r="D147" t="str">
        <f>_xlfn.XLOOKUP('Raw Data'!D147,$V$2:$V$5,$W$2:$W$5,,1)</f>
        <v>15 - 19</v>
      </c>
      <c r="E147">
        <v>2022</v>
      </c>
      <c r="F147" t="str">
        <f>_xlfn.XLOOKUP('Raw Data'!F147,$Q$2:$Q$9,$R$2:$R$9,,1)</f>
        <v>0 - 5</v>
      </c>
      <c r="G147">
        <v>493.7</v>
      </c>
    </row>
    <row r="148" spans="1:7" x14ac:dyDescent="0.25">
      <c r="A148" t="str">
        <f>_xlfn.XLOOKUP('Raw Data'!A148,$M$2:$M$11,$N$2:$N$11,,1)</f>
        <v>58 - 63</v>
      </c>
      <c r="B148" t="str">
        <f>_xlfn.XLOOKUP('Raw Data'!B148,$Q$2:$Q$9,$R$2:$R$9,,1)</f>
        <v>30 - 35</v>
      </c>
      <c r="C148">
        <v>1</v>
      </c>
      <c r="D148" t="str">
        <f>_xlfn.XLOOKUP('Raw Data'!D148,$V$2:$V$5,$W$2:$W$5,,1)</f>
        <v>15 - 19</v>
      </c>
      <c r="E148">
        <v>2006</v>
      </c>
      <c r="F148" t="str">
        <f>_xlfn.XLOOKUP('Raw Data'!F148,$Q$2:$Q$9,$R$2:$R$9,,1)</f>
        <v>15 - 20</v>
      </c>
      <c r="G148">
        <v>481.95</v>
      </c>
    </row>
    <row r="149" spans="1:7" x14ac:dyDescent="0.25">
      <c r="A149" t="str">
        <f>_xlfn.XLOOKUP('Raw Data'!A149,$M$2:$M$11,$N$2:$N$11,,1)</f>
        <v>28 - 33</v>
      </c>
      <c r="B149" t="str">
        <f>_xlfn.XLOOKUP('Raw Data'!B149,$Q$2:$Q$9,$R$2:$R$9,,1)</f>
        <v>0 - 5</v>
      </c>
      <c r="C149">
        <v>2</v>
      </c>
      <c r="D149" t="str">
        <f>_xlfn.XLOOKUP('Raw Data'!D149,$V$2:$V$5,$W$2:$W$5,,1)</f>
        <v>15 - 19</v>
      </c>
      <c r="E149">
        <v>2000</v>
      </c>
      <c r="F149" t="str">
        <f>_xlfn.XLOOKUP('Raw Data'!F149,$Q$2:$Q$9,$R$2:$R$9,,1)</f>
        <v>20 - 25</v>
      </c>
      <c r="G149">
        <v>499.4</v>
      </c>
    </row>
    <row r="150" spans="1:7" x14ac:dyDescent="0.25">
      <c r="A150" t="str">
        <f>_xlfn.XLOOKUP('Raw Data'!A150,$M$2:$M$11,$N$2:$N$11,,1)</f>
        <v>48 - 53</v>
      </c>
      <c r="B150" t="str">
        <f>_xlfn.XLOOKUP('Raw Data'!B150,$Q$2:$Q$9,$R$2:$R$9,,1)</f>
        <v>0 - 5</v>
      </c>
      <c r="C150">
        <v>3</v>
      </c>
      <c r="D150" t="str">
        <f>_xlfn.XLOOKUP('Raw Data'!D150,$V$2:$V$5,$W$2:$W$5,,1)</f>
        <v>15 - 19</v>
      </c>
      <c r="E150">
        <v>2002</v>
      </c>
      <c r="F150" t="str">
        <f>_xlfn.XLOOKUP('Raw Data'!F150,$Q$2:$Q$9,$R$2:$R$9,,1)</f>
        <v>20 - 25</v>
      </c>
      <c r="G150">
        <v>496.75</v>
      </c>
    </row>
    <row r="151" spans="1:7" x14ac:dyDescent="0.25">
      <c r="A151" t="str">
        <f>_xlfn.XLOOKUP('Raw Data'!A151,$M$2:$M$11,$N$2:$N$11,,1)</f>
        <v>53 - 58</v>
      </c>
      <c r="B151" t="str">
        <f>_xlfn.XLOOKUP('Raw Data'!B151,$Q$2:$Q$9,$R$2:$R$9,,1)</f>
        <v>35 - 40</v>
      </c>
      <c r="C151">
        <v>3</v>
      </c>
      <c r="D151" t="str">
        <f>_xlfn.XLOOKUP('Raw Data'!D151,$V$2:$V$5,$W$2:$W$5,,1)</f>
        <v>11 - 15</v>
      </c>
      <c r="E151">
        <v>2000</v>
      </c>
      <c r="F151" t="str">
        <f>_xlfn.XLOOKUP('Raw Data'!F151,$Q$2:$Q$9,$R$2:$R$9,,1)</f>
        <v>20 - 25</v>
      </c>
      <c r="G151">
        <v>485.65</v>
      </c>
    </row>
    <row r="152" spans="1:7" x14ac:dyDescent="0.25">
      <c r="A152" t="str">
        <f>_xlfn.XLOOKUP('Raw Data'!A152,$M$2:$M$11,$N$2:$N$11,,1)</f>
        <v>48 - 53</v>
      </c>
      <c r="B152" t="str">
        <f>_xlfn.XLOOKUP('Raw Data'!B152,$Q$2:$Q$9,$R$2:$R$9,,1)</f>
        <v>5 - 10</v>
      </c>
      <c r="C152">
        <v>1</v>
      </c>
      <c r="D152" t="str">
        <f>_xlfn.XLOOKUP('Raw Data'!D152,$V$2:$V$5,$W$2:$W$5,,1)</f>
        <v>23 - 27</v>
      </c>
      <c r="E152">
        <v>2020</v>
      </c>
      <c r="F152" t="str">
        <f>_xlfn.XLOOKUP('Raw Data'!F152,$Q$2:$Q$9,$R$2:$R$9,,1)</f>
        <v>0 - 5</v>
      </c>
      <c r="G152">
        <v>491.3</v>
      </c>
    </row>
    <row r="153" spans="1:7" x14ac:dyDescent="0.25">
      <c r="A153" t="str">
        <f>_xlfn.XLOOKUP('Raw Data'!A153,$M$2:$M$11,$N$2:$N$11,,1)</f>
        <v>18 - 23</v>
      </c>
      <c r="B153" t="str">
        <f>_xlfn.XLOOKUP('Raw Data'!B153,$Q$2:$Q$9,$R$2:$R$9,,1)</f>
        <v>0 - 5</v>
      </c>
      <c r="C153">
        <v>0</v>
      </c>
      <c r="D153" t="str">
        <f>_xlfn.XLOOKUP('Raw Data'!D153,$V$2:$V$5,$W$2:$W$5,,1)</f>
        <v>11 - 15</v>
      </c>
      <c r="E153">
        <v>2017</v>
      </c>
      <c r="F153" t="str">
        <f>_xlfn.XLOOKUP('Raw Data'!F153,$Q$2:$Q$9,$R$2:$R$9,,1)</f>
        <v>5 - 10</v>
      </c>
      <c r="G153">
        <v>496.35</v>
      </c>
    </row>
    <row r="154" spans="1:7" x14ac:dyDescent="0.25">
      <c r="A154" t="str">
        <f>_xlfn.XLOOKUP('Raw Data'!A154,$M$2:$M$11,$N$2:$N$11,,1)</f>
        <v>43 - 48</v>
      </c>
      <c r="B154" t="str">
        <f>_xlfn.XLOOKUP('Raw Data'!B154,$Q$2:$Q$9,$R$2:$R$9,,1)</f>
        <v>25 - 30</v>
      </c>
      <c r="C154">
        <v>1</v>
      </c>
      <c r="D154" t="str">
        <f>_xlfn.XLOOKUP('Raw Data'!D154,$V$2:$V$5,$W$2:$W$5,,1)</f>
        <v>11 - 15</v>
      </c>
      <c r="E154">
        <v>1995</v>
      </c>
      <c r="F154" t="str">
        <f>_xlfn.XLOOKUP('Raw Data'!F154,$Q$2:$Q$9,$R$2:$R$9,,1)</f>
        <v>25 - 30</v>
      </c>
      <c r="G154">
        <v>487.05</v>
      </c>
    </row>
    <row r="155" spans="1:7" x14ac:dyDescent="0.25">
      <c r="A155" t="str">
        <f>_xlfn.XLOOKUP('Raw Data'!A155,$M$2:$M$11,$N$2:$N$11,,1)</f>
        <v>53 - 58</v>
      </c>
      <c r="B155" t="str">
        <f>_xlfn.XLOOKUP('Raw Data'!B155,$Q$2:$Q$9,$R$2:$R$9,,1)</f>
        <v>5 - 10</v>
      </c>
      <c r="C155">
        <v>2</v>
      </c>
      <c r="D155" t="str">
        <f>_xlfn.XLOOKUP('Raw Data'!D155,$V$2:$V$5,$W$2:$W$5,,1)</f>
        <v>19 - 23</v>
      </c>
      <c r="E155">
        <v>2005</v>
      </c>
      <c r="F155" t="str">
        <f>_xlfn.XLOOKUP('Raw Data'!F155,$Q$2:$Q$9,$R$2:$R$9,,1)</f>
        <v>15 - 20</v>
      </c>
      <c r="G155">
        <v>492.8</v>
      </c>
    </row>
    <row r="156" spans="1:7" x14ac:dyDescent="0.25">
      <c r="A156" t="str">
        <f>_xlfn.XLOOKUP('Raw Data'!A156,$M$2:$M$11,$N$2:$N$11,,1)</f>
        <v>38 - 43</v>
      </c>
      <c r="B156" t="str">
        <f>_xlfn.XLOOKUP('Raw Data'!B156,$Q$2:$Q$9,$R$2:$R$9,,1)</f>
        <v>20 - 25</v>
      </c>
      <c r="C156">
        <v>3</v>
      </c>
      <c r="D156" t="str">
        <f>_xlfn.XLOOKUP('Raw Data'!D156,$V$2:$V$5,$W$2:$W$5,,1)</f>
        <v>11 - 15</v>
      </c>
      <c r="E156">
        <v>1993</v>
      </c>
      <c r="F156" t="str">
        <f>_xlfn.XLOOKUP('Raw Data'!F156,$Q$2:$Q$9,$R$2:$R$9,,1)</f>
        <v>30 - 35</v>
      </c>
      <c r="G156">
        <v>493.75</v>
      </c>
    </row>
    <row r="157" spans="1:7" x14ac:dyDescent="0.25">
      <c r="A157" t="str">
        <f>_xlfn.XLOOKUP('Raw Data'!A157,$M$2:$M$11,$N$2:$N$11,,1)</f>
        <v>53 - 58</v>
      </c>
      <c r="B157" t="str">
        <f>_xlfn.XLOOKUP('Raw Data'!B157,$Q$2:$Q$9,$R$2:$R$9,,1)</f>
        <v>10 - 15</v>
      </c>
      <c r="C157">
        <v>1</v>
      </c>
      <c r="D157" t="str">
        <f>_xlfn.XLOOKUP('Raw Data'!D157,$V$2:$V$5,$W$2:$W$5,,1)</f>
        <v>15 - 19</v>
      </c>
      <c r="E157">
        <v>2024</v>
      </c>
      <c r="F157" t="str">
        <f>_xlfn.XLOOKUP('Raw Data'!F157,$Q$2:$Q$9,$R$2:$R$9,,1)</f>
        <v>0 - 5</v>
      </c>
      <c r="G157">
        <v>487.45</v>
      </c>
    </row>
    <row r="158" spans="1:7" x14ac:dyDescent="0.25">
      <c r="A158" t="str">
        <f>_xlfn.XLOOKUP('Raw Data'!A158,$M$2:$M$11,$N$2:$N$11,,1)</f>
        <v>58 - 63</v>
      </c>
      <c r="B158" t="str">
        <f>_xlfn.XLOOKUP('Raw Data'!B158,$Q$2:$Q$9,$R$2:$R$9,,1)</f>
        <v>35 - 40</v>
      </c>
      <c r="C158">
        <v>0</v>
      </c>
      <c r="D158" t="str">
        <f>_xlfn.XLOOKUP('Raw Data'!D158,$V$2:$V$5,$W$2:$W$5,,1)</f>
        <v>19 - 23</v>
      </c>
      <c r="E158">
        <v>2015</v>
      </c>
      <c r="F158" t="str">
        <f>_xlfn.XLOOKUP('Raw Data'!F158,$Q$2:$Q$9,$R$2:$R$9,,1)</f>
        <v>5 - 10</v>
      </c>
      <c r="G158">
        <v>478</v>
      </c>
    </row>
    <row r="159" spans="1:7" x14ac:dyDescent="0.25">
      <c r="A159" t="str">
        <f>_xlfn.XLOOKUP('Raw Data'!A159,$M$2:$M$11,$N$2:$N$11,,1)</f>
        <v>28 - 33</v>
      </c>
      <c r="B159" t="str">
        <f>_xlfn.XLOOKUP('Raw Data'!B159,$Q$2:$Q$9,$R$2:$R$9,,1)</f>
        <v>10 - 15</v>
      </c>
      <c r="C159">
        <v>1</v>
      </c>
      <c r="D159" t="str">
        <f>_xlfn.XLOOKUP('Raw Data'!D159,$V$2:$V$5,$W$2:$W$5,,1)</f>
        <v>11 - 15</v>
      </c>
      <c r="E159">
        <v>2001</v>
      </c>
      <c r="F159" t="str">
        <f>_xlfn.XLOOKUP('Raw Data'!F159,$Q$2:$Q$9,$R$2:$R$9,,1)</f>
        <v>20 - 25</v>
      </c>
      <c r="G159">
        <v>494</v>
      </c>
    </row>
    <row r="160" spans="1:7" x14ac:dyDescent="0.25">
      <c r="A160" t="str">
        <f>_xlfn.XLOOKUP('Raw Data'!A160,$M$2:$M$11,$N$2:$N$11,,1)</f>
        <v>58 - 63</v>
      </c>
      <c r="B160" t="str">
        <f>_xlfn.XLOOKUP('Raw Data'!B160,$Q$2:$Q$9,$R$2:$R$9,,1)</f>
        <v>20 - 25</v>
      </c>
      <c r="C160">
        <v>4</v>
      </c>
      <c r="D160" t="str">
        <f>_xlfn.XLOOKUP('Raw Data'!D160,$V$2:$V$5,$W$2:$W$5,,1)</f>
        <v>19 - 23</v>
      </c>
      <c r="E160">
        <v>2000</v>
      </c>
      <c r="F160" t="str">
        <f>_xlfn.XLOOKUP('Raw Data'!F160,$Q$2:$Q$9,$R$2:$R$9,,1)</f>
        <v>20 - 25</v>
      </c>
      <c r="G160">
        <v>491.35</v>
      </c>
    </row>
    <row r="161" spans="1:7" x14ac:dyDescent="0.25">
      <c r="A161" t="str">
        <f>_xlfn.XLOOKUP('Raw Data'!A161,$M$2:$M$11,$N$2:$N$11,,1)</f>
        <v>43 - 48</v>
      </c>
      <c r="B161" t="str">
        <f>_xlfn.XLOOKUP('Raw Data'!B161,$Q$2:$Q$9,$R$2:$R$9,,1)</f>
        <v>5 - 10</v>
      </c>
      <c r="C161">
        <v>0</v>
      </c>
      <c r="D161" t="str">
        <f>_xlfn.XLOOKUP('Raw Data'!D161,$V$2:$V$5,$W$2:$W$5,,1)</f>
        <v>15 - 19</v>
      </c>
      <c r="E161">
        <v>2014</v>
      </c>
      <c r="F161" t="str">
        <f>_xlfn.XLOOKUP('Raw Data'!F161,$Q$2:$Q$9,$R$2:$R$9,,1)</f>
        <v>10 - 15</v>
      </c>
      <c r="G161">
        <v>489.75</v>
      </c>
    </row>
    <row r="162" spans="1:7" x14ac:dyDescent="0.25">
      <c r="A162" t="str">
        <f>_xlfn.XLOOKUP('Raw Data'!A162,$M$2:$M$11,$N$2:$N$11,,1)</f>
        <v>48 - 53</v>
      </c>
      <c r="B162" t="str">
        <f>_xlfn.XLOOKUP('Raw Data'!B162,$Q$2:$Q$9,$R$2:$R$9,,1)</f>
        <v>20 - 25</v>
      </c>
      <c r="C162">
        <v>2</v>
      </c>
      <c r="D162" t="str">
        <f>_xlfn.XLOOKUP('Raw Data'!D162,$V$2:$V$5,$W$2:$W$5,,1)</f>
        <v>23 - 27</v>
      </c>
      <c r="E162">
        <v>2007</v>
      </c>
      <c r="F162" t="str">
        <f>_xlfn.XLOOKUP('Raw Data'!F162,$Q$2:$Q$9,$R$2:$R$9,,1)</f>
        <v>15 - 20</v>
      </c>
      <c r="G162">
        <v>488.8</v>
      </c>
    </row>
    <row r="163" spans="1:7" x14ac:dyDescent="0.25">
      <c r="A163" t="str">
        <f>_xlfn.XLOOKUP('Raw Data'!A163,$M$2:$M$11,$N$2:$N$11,,1)</f>
        <v>28 - 33</v>
      </c>
      <c r="B163" t="str">
        <f>_xlfn.XLOOKUP('Raw Data'!B163,$Q$2:$Q$9,$R$2:$R$9,,1)</f>
        <v>0 - 5</v>
      </c>
      <c r="C163">
        <v>3</v>
      </c>
      <c r="D163" t="str">
        <f>_xlfn.XLOOKUP('Raw Data'!D163,$V$2:$V$5,$W$2:$W$5,,1)</f>
        <v>23 - 27</v>
      </c>
      <c r="E163">
        <v>2008</v>
      </c>
      <c r="F163" t="str">
        <f>_xlfn.XLOOKUP('Raw Data'!F163,$Q$2:$Q$9,$R$2:$R$9,,1)</f>
        <v>15 - 20</v>
      </c>
      <c r="G163">
        <v>501.45</v>
      </c>
    </row>
    <row r="164" spans="1:7" x14ac:dyDescent="0.25">
      <c r="A164" t="str">
        <f>_xlfn.XLOOKUP('Raw Data'!A164,$M$2:$M$11,$N$2:$N$11,,1)</f>
        <v>48 - 53</v>
      </c>
      <c r="B164" t="str">
        <f>_xlfn.XLOOKUP('Raw Data'!B164,$Q$2:$Q$9,$R$2:$R$9,,1)</f>
        <v>30 - 35</v>
      </c>
      <c r="C164">
        <v>1</v>
      </c>
      <c r="D164" t="str">
        <f>_xlfn.XLOOKUP('Raw Data'!D164,$V$2:$V$5,$W$2:$W$5,,1)</f>
        <v>15 - 19</v>
      </c>
      <c r="E164">
        <v>2012</v>
      </c>
      <c r="F164" t="str">
        <f>_xlfn.XLOOKUP('Raw Data'!F164,$Q$2:$Q$9,$R$2:$R$9,,1)</f>
        <v>10 - 15</v>
      </c>
      <c r="G164">
        <v>484.65</v>
      </c>
    </row>
    <row r="165" spans="1:7" x14ac:dyDescent="0.25">
      <c r="A165" t="str">
        <f>_xlfn.XLOOKUP('Raw Data'!A165,$M$2:$M$11,$N$2:$N$11,,1)</f>
        <v>23 - 28</v>
      </c>
      <c r="B165" t="str">
        <f>_xlfn.XLOOKUP('Raw Data'!B165,$Q$2:$Q$9,$R$2:$R$9,,1)</f>
        <v>5 - 10</v>
      </c>
      <c r="C165">
        <v>0</v>
      </c>
      <c r="D165" t="str">
        <f>_xlfn.XLOOKUP('Raw Data'!D165,$V$2:$V$5,$W$2:$W$5,,1)</f>
        <v>19 - 23</v>
      </c>
      <c r="E165">
        <v>2007</v>
      </c>
      <c r="F165" t="str">
        <f>_xlfn.XLOOKUP('Raw Data'!F165,$Q$2:$Q$9,$R$2:$R$9,,1)</f>
        <v>15 - 20</v>
      </c>
      <c r="G165">
        <v>496.25</v>
      </c>
    </row>
    <row r="166" spans="1:7" x14ac:dyDescent="0.25">
      <c r="A166" t="str">
        <f>_xlfn.XLOOKUP('Raw Data'!A166,$M$2:$M$11,$N$2:$N$11,,1)</f>
        <v>38 - 43</v>
      </c>
      <c r="B166" t="str">
        <f>_xlfn.XLOOKUP('Raw Data'!B166,$Q$2:$Q$9,$R$2:$R$9,,1)</f>
        <v>20 - 25</v>
      </c>
      <c r="C166">
        <v>4</v>
      </c>
      <c r="D166" t="str">
        <f>_xlfn.XLOOKUP('Raw Data'!D166,$V$2:$V$5,$W$2:$W$5,,1)</f>
        <v>19 - 23</v>
      </c>
      <c r="E166">
        <v>2015</v>
      </c>
      <c r="F166" t="str">
        <f>_xlfn.XLOOKUP('Raw Data'!F166,$Q$2:$Q$9,$R$2:$R$9,,1)</f>
        <v>5 - 10</v>
      </c>
      <c r="G166">
        <v>494</v>
      </c>
    </row>
    <row r="167" spans="1:7" x14ac:dyDescent="0.25">
      <c r="A167" t="str">
        <f>_xlfn.XLOOKUP('Raw Data'!A167,$M$2:$M$11,$N$2:$N$11,,1)</f>
        <v>43 - 48</v>
      </c>
      <c r="B167" t="str">
        <f>_xlfn.XLOOKUP('Raw Data'!B167,$Q$2:$Q$9,$R$2:$R$9,,1)</f>
        <v>25 - 30</v>
      </c>
      <c r="C167">
        <v>0</v>
      </c>
      <c r="D167" t="str">
        <f>_xlfn.XLOOKUP('Raw Data'!D167,$V$2:$V$5,$W$2:$W$5,,1)</f>
        <v>15 - 19</v>
      </c>
      <c r="E167">
        <v>1995</v>
      </c>
      <c r="F167" t="str">
        <f>_xlfn.XLOOKUP('Raw Data'!F167,$Q$2:$Q$9,$R$2:$R$9,,1)</f>
        <v>25 - 30</v>
      </c>
      <c r="G167">
        <v>486.75</v>
      </c>
    </row>
    <row r="168" spans="1:7" x14ac:dyDescent="0.25">
      <c r="A168" t="str">
        <f>_xlfn.XLOOKUP('Raw Data'!A168,$M$2:$M$11,$N$2:$N$11,,1)</f>
        <v>18 - 23</v>
      </c>
      <c r="B168" t="str">
        <f>_xlfn.XLOOKUP('Raw Data'!B168,$Q$2:$Q$9,$R$2:$R$9,,1)</f>
        <v>0 - 5</v>
      </c>
      <c r="C168">
        <v>5</v>
      </c>
      <c r="D168" t="str">
        <f>_xlfn.XLOOKUP('Raw Data'!D168,$V$2:$V$5,$W$2:$W$5,,1)</f>
        <v>15 - 19</v>
      </c>
      <c r="E168">
        <v>1993</v>
      </c>
      <c r="F168" t="str">
        <f>_xlfn.XLOOKUP('Raw Data'!F168,$Q$2:$Q$9,$R$2:$R$9,,1)</f>
        <v>30 - 35</v>
      </c>
      <c r="G168">
        <v>507.55</v>
      </c>
    </row>
    <row r="169" spans="1:7" x14ac:dyDescent="0.25">
      <c r="A169" t="str">
        <f>_xlfn.XLOOKUP('Raw Data'!A169,$M$2:$M$11,$N$2:$N$11,,1)</f>
        <v>58 - 63</v>
      </c>
      <c r="B169" t="str">
        <f>_xlfn.XLOOKUP('Raw Data'!B169,$Q$2:$Q$9,$R$2:$R$9,,1)</f>
        <v>0 - 5</v>
      </c>
      <c r="C169">
        <v>4</v>
      </c>
      <c r="D169" t="str">
        <f>_xlfn.XLOOKUP('Raw Data'!D169,$V$2:$V$5,$W$2:$W$5,,1)</f>
        <v>19 - 23</v>
      </c>
      <c r="E169">
        <v>2018</v>
      </c>
      <c r="F169" t="str">
        <f>_xlfn.XLOOKUP('Raw Data'!F169,$Q$2:$Q$9,$R$2:$R$9,,1)</f>
        <v>5 - 10</v>
      </c>
      <c r="G169">
        <v>496</v>
      </c>
    </row>
    <row r="170" spans="1:7" x14ac:dyDescent="0.25">
      <c r="A170" t="str">
        <f>_xlfn.XLOOKUP('Raw Data'!A170,$M$2:$M$11,$N$2:$N$11,,1)</f>
        <v>58 - 63</v>
      </c>
      <c r="B170" t="str">
        <f>_xlfn.XLOOKUP('Raw Data'!B170,$Q$2:$Q$9,$R$2:$R$9,,1)</f>
        <v>35 - 40</v>
      </c>
      <c r="C170">
        <v>2</v>
      </c>
      <c r="D170" t="str">
        <f>_xlfn.XLOOKUP('Raw Data'!D170,$V$2:$V$5,$W$2:$W$5,,1)</f>
        <v>11 - 15</v>
      </c>
      <c r="E170">
        <v>2023</v>
      </c>
      <c r="F170" t="str">
        <f>_xlfn.XLOOKUP('Raw Data'!F170,$Q$2:$Q$9,$R$2:$R$9,,1)</f>
        <v>0 - 5</v>
      </c>
      <c r="G170">
        <v>479.75</v>
      </c>
    </row>
    <row r="171" spans="1:7" x14ac:dyDescent="0.25">
      <c r="A171" t="str">
        <f>_xlfn.XLOOKUP('Raw Data'!A171,$M$2:$M$11,$N$2:$N$11,,1)</f>
        <v>18 - 23</v>
      </c>
      <c r="B171" t="str">
        <f>_xlfn.XLOOKUP('Raw Data'!B171,$Q$2:$Q$9,$R$2:$R$9,,1)</f>
        <v>0 - 5</v>
      </c>
      <c r="C171">
        <v>3</v>
      </c>
      <c r="D171" t="str">
        <f>_xlfn.XLOOKUP('Raw Data'!D171,$V$2:$V$5,$W$2:$W$5,,1)</f>
        <v>23 - 27</v>
      </c>
      <c r="E171">
        <v>2006</v>
      </c>
      <c r="F171" t="str">
        <f>_xlfn.XLOOKUP('Raw Data'!F171,$Q$2:$Q$9,$R$2:$R$9,,1)</f>
        <v>15 - 20</v>
      </c>
      <c r="G171">
        <v>501.55</v>
      </c>
    </row>
    <row r="172" spans="1:7" x14ac:dyDescent="0.25">
      <c r="A172" t="str">
        <f>_xlfn.XLOOKUP('Raw Data'!A172,$M$2:$M$11,$N$2:$N$11,,1)</f>
        <v>43 - 48</v>
      </c>
      <c r="B172" t="str">
        <f>_xlfn.XLOOKUP('Raw Data'!B172,$Q$2:$Q$9,$R$2:$R$9,,1)</f>
        <v>15 - 20</v>
      </c>
      <c r="C172">
        <v>2</v>
      </c>
      <c r="D172" t="str">
        <f>_xlfn.XLOOKUP('Raw Data'!D172,$V$2:$V$5,$W$2:$W$5,,1)</f>
        <v>11 - 15</v>
      </c>
      <c r="E172">
        <v>2005</v>
      </c>
      <c r="F172" t="str">
        <f>_xlfn.XLOOKUP('Raw Data'!F172,$Q$2:$Q$9,$R$2:$R$9,,1)</f>
        <v>15 - 20</v>
      </c>
      <c r="G172">
        <v>490.7</v>
      </c>
    </row>
    <row r="173" spans="1:7" x14ac:dyDescent="0.25">
      <c r="A173" t="str">
        <f>_xlfn.XLOOKUP('Raw Data'!A173,$M$2:$M$11,$N$2:$N$11,,1)</f>
        <v>43 - 48</v>
      </c>
      <c r="B173" t="str">
        <f>_xlfn.XLOOKUP('Raw Data'!B173,$Q$2:$Q$9,$R$2:$R$9,,1)</f>
        <v>5 - 10</v>
      </c>
      <c r="C173">
        <v>1</v>
      </c>
      <c r="D173" t="str">
        <f>_xlfn.XLOOKUP('Raw Data'!D173,$V$2:$V$5,$W$2:$W$5,,1)</f>
        <v>23 - 27</v>
      </c>
      <c r="E173">
        <v>1991</v>
      </c>
      <c r="F173" t="str">
        <f>_xlfn.XLOOKUP('Raw Data'!F173,$Q$2:$Q$9,$R$2:$R$9,,1)</f>
        <v>30 - 35</v>
      </c>
      <c r="G173">
        <v>494.7</v>
      </c>
    </row>
    <row r="174" spans="1:7" x14ac:dyDescent="0.25">
      <c r="A174" t="str">
        <f>_xlfn.XLOOKUP('Raw Data'!A174,$M$2:$M$11,$N$2:$N$11,,1)</f>
        <v>58 - 63</v>
      </c>
      <c r="B174" t="str">
        <f>_xlfn.XLOOKUP('Raw Data'!B174,$Q$2:$Q$9,$R$2:$R$9,,1)</f>
        <v>5 - 10</v>
      </c>
      <c r="C174">
        <v>0</v>
      </c>
      <c r="D174" t="str">
        <f>_xlfn.XLOOKUP('Raw Data'!D174,$V$2:$V$5,$W$2:$W$5,,1)</f>
        <v>15 - 19</v>
      </c>
      <c r="E174">
        <v>2023</v>
      </c>
      <c r="F174" t="str">
        <f>_xlfn.XLOOKUP('Raw Data'!F174,$Q$2:$Q$9,$R$2:$R$9,,1)</f>
        <v>0 - 5</v>
      </c>
      <c r="G174">
        <v>486.5</v>
      </c>
    </row>
    <row r="175" spans="1:7" x14ac:dyDescent="0.25">
      <c r="A175" t="str">
        <f>_xlfn.XLOOKUP('Raw Data'!A175,$M$2:$M$11,$N$2:$N$11,,1)</f>
        <v>58 - 63</v>
      </c>
      <c r="B175" t="str">
        <f>_xlfn.XLOOKUP('Raw Data'!B175,$Q$2:$Q$9,$R$2:$R$9,,1)</f>
        <v>5 - 10</v>
      </c>
      <c r="C175">
        <v>5</v>
      </c>
      <c r="D175" t="str">
        <f>_xlfn.XLOOKUP('Raw Data'!D175,$V$2:$V$5,$W$2:$W$5,,1)</f>
        <v>15 - 19</v>
      </c>
      <c r="E175">
        <v>1997</v>
      </c>
      <c r="F175" t="str">
        <f>_xlfn.XLOOKUP('Raw Data'!F175,$Q$2:$Q$9,$R$2:$R$9,,1)</f>
        <v>25 - 30</v>
      </c>
      <c r="G175">
        <v>496.2</v>
      </c>
    </row>
    <row r="176" spans="1:7" x14ac:dyDescent="0.25">
      <c r="A176" t="str">
        <f>_xlfn.XLOOKUP('Raw Data'!A176,$M$2:$M$11,$N$2:$N$11,,1)</f>
        <v>33 - 38</v>
      </c>
      <c r="B176" t="str">
        <f>_xlfn.XLOOKUP('Raw Data'!B176,$Q$2:$Q$9,$R$2:$R$9,,1)</f>
        <v>15 - 20</v>
      </c>
      <c r="C176">
        <v>4</v>
      </c>
      <c r="D176" t="str">
        <f>_xlfn.XLOOKUP('Raw Data'!D176,$V$2:$V$5,$W$2:$W$5,,1)</f>
        <v>11 - 15</v>
      </c>
      <c r="E176">
        <v>2002</v>
      </c>
      <c r="F176" t="str">
        <f>_xlfn.XLOOKUP('Raw Data'!F176,$Q$2:$Q$9,$R$2:$R$9,,1)</f>
        <v>20 - 25</v>
      </c>
      <c r="G176">
        <v>495.95</v>
      </c>
    </row>
    <row r="177" spans="1:7" x14ac:dyDescent="0.25">
      <c r="A177" t="str">
        <f>_xlfn.XLOOKUP('Raw Data'!A177,$M$2:$M$11,$N$2:$N$11,,1)</f>
        <v>43 - 48</v>
      </c>
      <c r="B177" t="str">
        <f>_xlfn.XLOOKUP('Raw Data'!B177,$Q$2:$Q$9,$R$2:$R$9,,1)</f>
        <v>25 - 30</v>
      </c>
      <c r="C177">
        <v>4</v>
      </c>
      <c r="D177" t="str">
        <f>_xlfn.XLOOKUP('Raw Data'!D177,$V$2:$V$5,$W$2:$W$5,,1)</f>
        <v>19 - 23</v>
      </c>
      <c r="E177">
        <v>1997</v>
      </c>
      <c r="F177" t="str">
        <f>_xlfn.XLOOKUP('Raw Data'!F177,$Q$2:$Q$9,$R$2:$R$9,,1)</f>
        <v>25 - 30</v>
      </c>
      <c r="G177">
        <v>491.85</v>
      </c>
    </row>
    <row r="178" spans="1:7" x14ac:dyDescent="0.25">
      <c r="A178" t="str">
        <f>_xlfn.XLOOKUP('Raw Data'!A178,$M$2:$M$11,$N$2:$N$11,,1)</f>
        <v>23 - 28</v>
      </c>
      <c r="B178" t="str">
        <f>_xlfn.XLOOKUP('Raw Data'!B178,$Q$2:$Q$9,$R$2:$R$9,,1)</f>
        <v>5 - 10</v>
      </c>
      <c r="C178">
        <v>0</v>
      </c>
      <c r="D178" t="str">
        <f>_xlfn.XLOOKUP('Raw Data'!D178,$V$2:$V$5,$W$2:$W$5,,1)</f>
        <v>11 - 15</v>
      </c>
      <c r="E178">
        <v>2019</v>
      </c>
      <c r="F178" t="str">
        <f>_xlfn.XLOOKUP('Raw Data'!F178,$Q$2:$Q$9,$R$2:$R$9,,1)</f>
        <v>5 - 10</v>
      </c>
      <c r="G178">
        <v>492.7</v>
      </c>
    </row>
    <row r="179" spans="1:7" x14ac:dyDescent="0.25">
      <c r="A179" t="str">
        <f>_xlfn.XLOOKUP('Raw Data'!A179,$M$2:$M$11,$N$2:$N$11,,1)</f>
        <v>43 - 48</v>
      </c>
      <c r="B179" t="str">
        <f>_xlfn.XLOOKUP('Raw Data'!B179,$Q$2:$Q$9,$R$2:$R$9,,1)</f>
        <v>20 - 25</v>
      </c>
      <c r="C179">
        <v>5</v>
      </c>
      <c r="D179" t="str">
        <f>_xlfn.XLOOKUP('Raw Data'!D179,$V$2:$V$5,$W$2:$W$5,,1)</f>
        <v>15 - 19</v>
      </c>
      <c r="E179">
        <v>2021</v>
      </c>
      <c r="F179" t="str">
        <f>_xlfn.XLOOKUP('Raw Data'!F179,$Q$2:$Q$9,$R$2:$R$9,,1)</f>
        <v>0 - 5</v>
      </c>
      <c r="G179">
        <v>492.6</v>
      </c>
    </row>
    <row r="180" spans="1:7" x14ac:dyDescent="0.25">
      <c r="A180" t="str">
        <f>_xlfn.XLOOKUP('Raw Data'!A180,$M$2:$M$11,$N$2:$N$11,,1)</f>
        <v>38 - 43</v>
      </c>
      <c r="B180" t="str">
        <f>_xlfn.XLOOKUP('Raw Data'!B180,$Q$2:$Q$9,$R$2:$R$9,,1)</f>
        <v>20 - 25</v>
      </c>
      <c r="C180">
        <v>0</v>
      </c>
      <c r="D180" t="str">
        <f>_xlfn.XLOOKUP('Raw Data'!D180,$V$2:$V$5,$W$2:$W$5,,1)</f>
        <v>11 - 15</v>
      </c>
      <c r="E180">
        <v>2025</v>
      </c>
      <c r="F180" t="str">
        <f>_xlfn.XLOOKUP('Raw Data'!F180,$Q$2:$Q$9,$R$2:$R$9,,1)</f>
        <v>0 - 5</v>
      </c>
      <c r="G180">
        <v>484.95</v>
      </c>
    </row>
    <row r="181" spans="1:7" x14ac:dyDescent="0.25">
      <c r="A181" t="str">
        <f>_xlfn.XLOOKUP('Raw Data'!A181,$M$2:$M$11,$N$2:$N$11,,1)</f>
        <v>53 - 58</v>
      </c>
      <c r="B181" t="str">
        <f>_xlfn.XLOOKUP('Raw Data'!B181,$Q$2:$Q$9,$R$2:$R$9,,1)</f>
        <v>5 - 10</v>
      </c>
      <c r="C181">
        <v>1</v>
      </c>
      <c r="D181" t="str">
        <f>_xlfn.XLOOKUP('Raw Data'!D181,$V$2:$V$5,$W$2:$W$5,,1)</f>
        <v>23 - 27</v>
      </c>
      <c r="E181">
        <v>2019</v>
      </c>
      <c r="F181" t="str">
        <f>_xlfn.XLOOKUP('Raw Data'!F181,$Q$2:$Q$9,$R$2:$R$9,,1)</f>
        <v>5 - 10</v>
      </c>
      <c r="G181">
        <v>489.1</v>
      </c>
    </row>
    <row r="182" spans="1:7" x14ac:dyDescent="0.25">
      <c r="A182" t="str">
        <f>_xlfn.XLOOKUP('Raw Data'!A182,$M$2:$M$11,$N$2:$N$11,,1)</f>
        <v>48 - 53</v>
      </c>
      <c r="B182" t="str">
        <f>_xlfn.XLOOKUP('Raw Data'!B182,$Q$2:$Q$9,$R$2:$R$9,,1)</f>
        <v>30 - 35</v>
      </c>
      <c r="C182">
        <v>2</v>
      </c>
      <c r="D182" t="str">
        <f>_xlfn.XLOOKUP('Raw Data'!D182,$V$2:$V$5,$W$2:$W$5,,1)</f>
        <v>15 - 19</v>
      </c>
      <c r="E182">
        <v>1990</v>
      </c>
      <c r="F182" t="str">
        <f>_xlfn.XLOOKUP('Raw Data'!F182,$Q$2:$Q$9,$R$2:$R$9,,1)</f>
        <v>30 - 35</v>
      </c>
      <c r="G182">
        <v>487.85</v>
      </c>
    </row>
    <row r="183" spans="1:7" x14ac:dyDescent="0.25">
      <c r="A183" t="str">
        <f>_xlfn.XLOOKUP('Raw Data'!A183,$M$2:$M$11,$N$2:$N$11,,1)</f>
        <v>18 - 23</v>
      </c>
      <c r="B183" t="str">
        <f>_xlfn.XLOOKUP('Raw Data'!B183,$Q$2:$Q$9,$R$2:$R$9,,1)</f>
        <v>0 - 5</v>
      </c>
      <c r="C183">
        <v>4</v>
      </c>
      <c r="D183" t="str">
        <f>_xlfn.XLOOKUP('Raw Data'!D183,$V$2:$V$5,$W$2:$W$5,,1)</f>
        <v>11 - 15</v>
      </c>
      <c r="E183">
        <v>2006</v>
      </c>
      <c r="F183" t="str">
        <f>_xlfn.XLOOKUP('Raw Data'!F183,$Q$2:$Q$9,$R$2:$R$9,,1)</f>
        <v>15 - 20</v>
      </c>
      <c r="G183">
        <v>504.85</v>
      </c>
    </row>
    <row r="184" spans="1:7" x14ac:dyDescent="0.25">
      <c r="A184" t="str">
        <f>_xlfn.XLOOKUP('Raw Data'!A184,$M$2:$M$11,$N$2:$N$11,,1)</f>
        <v>43 - 48</v>
      </c>
      <c r="B184" t="str">
        <f>_xlfn.XLOOKUP('Raw Data'!B184,$Q$2:$Q$9,$R$2:$R$9,,1)</f>
        <v>5 - 10</v>
      </c>
      <c r="C184">
        <v>1</v>
      </c>
      <c r="D184" t="str">
        <f>_xlfn.XLOOKUP('Raw Data'!D184,$V$2:$V$5,$W$2:$W$5,,1)</f>
        <v>15 - 19</v>
      </c>
      <c r="E184">
        <v>2009</v>
      </c>
      <c r="F184" t="str">
        <f>_xlfn.XLOOKUP('Raw Data'!F184,$Q$2:$Q$9,$R$2:$R$9,,1)</f>
        <v>15 - 20</v>
      </c>
      <c r="G184">
        <v>493.4</v>
      </c>
    </row>
    <row r="185" spans="1:7" x14ac:dyDescent="0.25">
      <c r="A185" t="str">
        <f>_xlfn.XLOOKUP('Raw Data'!A185,$M$2:$M$11,$N$2:$N$11,,1)</f>
        <v>28 - 33</v>
      </c>
      <c r="B185" t="str">
        <f>_xlfn.XLOOKUP('Raw Data'!B185,$Q$2:$Q$9,$R$2:$R$9,,1)</f>
        <v>10 - 15</v>
      </c>
      <c r="C185">
        <v>2</v>
      </c>
      <c r="D185" t="str">
        <f>_xlfn.XLOOKUP('Raw Data'!D185,$V$2:$V$5,$W$2:$W$5,,1)</f>
        <v>11 - 15</v>
      </c>
      <c r="E185">
        <v>2013</v>
      </c>
      <c r="F185" t="str">
        <f>_xlfn.XLOOKUP('Raw Data'!F185,$Q$2:$Q$9,$R$2:$R$9,,1)</f>
        <v>10 - 15</v>
      </c>
      <c r="G185">
        <v>495.3</v>
      </c>
    </row>
    <row r="186" spans="1:7" x14ac:dyDescent="0.25">
      <c r="A186" t="str">
        <f>_xlfn.XLOOKUP('Raw Data'!A186,$M$2:$M$11,$N$2:$N$11,,1)</f>
        <v>53 - 58</v>
      </c>
      <c r="B186" t="str">
        <f>_xlfn.XLOOKUP('Raw Data'!B186,$Q$2:$Q$9,$R$2:$R$9,,1)</f>
        <v>25 - 30</v>
      </c>
      <c r="C186">
        <v>1</v>
      </c>
      <c r="D186" t="str">
        <f>_xlfn.XLOOKUP('Raw Data'!D186,$V$2:$V$5,$W$2:$W$5,,1)</f>
        <v>15 - 19</v>
      </c>
      <c r="E186">
        <v>2011</v>
      </c>
      <c r="F186" t="str">
        <f>_xlfn.XLOOKUP('Raw Data'!F186,$Q$2:$Q$9,$R$2:$R$9,,1)</f>
        <v>10 - 15</v>
      </c>
      <c r="G186">
        <v>484.45</v>
      </c>
    </row>
    <row r="187" spans="1:7" x14ac:dyDescent="0.25">
      <c r="A187" t="str">
        <f>_xlfn.XLOOKUP('Raw Data'!A187,$M$2:$M$11,$N$2:$N$11,,1)</f>
        <v>18 - 23</v>
      </c>
      <c r="B187" t="str">
        <f>_xlfn.XLOOKUP('Raw Data'!B187,$Q$2:$Q$9,$R$2:$R$9,,1)</f>
        <v>0 - 5</v>
      </c>
      <c r="C187">
        <v>5</v>
      </c>
      <c r="D187" t="str">
        <f>_xlfn.XLOOKUP('Raw Data'!D187,$V$2:$V$5,$W$2:$W$5,,1)</f>
        <v>23 - 27</v>
      </c>
      <c r="E187">
        <v>2018</v>
      </c>
      <c r="F187" t="str">
        <f>_xlfn.XLOOKUP('Raw Data'!F187,$Q$2:$Q$9,$R$2:$R$9,,1)</f>
        <v>5 - 10</v>
      </c>
      <c r="G187">
        <v>504.8</v>
      </c>
    </row>
    <row r="188" spans="1:7" x14ac:dyDescent="0.25">
      <c r="A188" t="str">
        <f>_xlfn.XLOOKUP('Raw Data'!A188,$M$2:$M$11,$N$2:$N$11,,1)</f>
        <v>53 - 58</v>
      </c>
      <c r="B188" t="str">
        <f>_xlfn.XLOOKUP('Raw Data'!B188,$Q$2:$Q$9,$R$2:$R$9,,1)</f>
        <v>25 - 30</v>
      </c>
      <c r="C188">
        <v>4</v>
      </c>
      <c r="D188" t="str">
        <f>_xlfn.XLOOKUP('Raw Data'!D188,$V$2:$V$5,$W$2:$W$5,,1)</f>
        <v>19 - 23</v>
      </c>
      <c r="E188">
        <v>2011</v>
      </c>
      <c r="F188" t="str">
        <f>_xlfn.XLOOKUP('Raw Data'!F188,$Q$2:$Q$9,$R$2:$R$9,,1)</f>
        <v>10 - 15</v>
      </c>
      <c r="G188">
        <v>489.45</v>
      </c>
    </row>
    <row r="189" spans="1:7" x14ac:dyDescent="0.25">
      <c r="A189" t="str">
        <f>_xlfn.XLOOKUP('Raw Data'!A189,$M$2:$M$11,$N$2:$N$11,,1)</f>
        <v>18 - 23</v>
      </c>
      <c r="B189" t="str">
        <f>_xlfn.XLOOKUP('Raw Data'!B189,$Q$2:$Q$9,$R$2:$R$9,,1)</f>
        <v>0 - 5</v>
      </c>
      <c r="C189">
        <v>0</v>
      </c>
      <c r="D189" t="str">
        <f>_xlfn.XLOOKUP('Raw Data'!D189,$V$2:$V$5,$W$2:$W$5,,1)</f>
        <v>11 - 15</v>
      </c>
      <c r="E189">
        <v>1998</v>
      </c>
      <c r="F189" t="str">
        <f>_xlfn.XLOOKUP('Raw Data'!F189,$Q$2:$Q$9,$R$2:$R$9,,1)</f>
        <v>25 - 30</v>
      </c>
      <c r="G189">
        <v>497.35</v>
      </c>
    </row>
    <row r="190" spans="1:7" x14ac:dyDescent="0.25">
      <c r="A190" t="str">
        <f>_xlfn.XLOOKUP('Raw Data'!A190,$M$2:$M$11,$N$2:$N$11,,1)</f>
        <v>23 - 28</v>
      </c>
      <c r="B190" t="str">
        <f>_xlfn.XLOOKUP('Raw Data'!B190,$Q$2:$Q$9,$R$2:$R$9,,1)</f>
        <v>5 - 10</v>
      </c>
      <c r="C190">
        <v>0</v>
      </c>
      <c r="D190" t="str">
        <f>_xlfn.XLOOKUP('Raw Data'!D190,$V$2:$V$5,$W$2:$W$5,,1)</f>
        <v>11 - 15</v>
      </c>
      <c r="E190">
        <v>1999</v>
      </c>
      <c r="F190" t="str">
        <f>_xlfn.XLOOKUP('Raw Data'!F190,$Q$2:$Q$9,$R$2:$R$9,,1)</f>
        <v>25 - 30</v>
      </c>
      <c r="G190">
        <v>496.15</v>
      </c>
    </row>
    <row r="191" spans="1:7" x14ac:dyDescent="0.25">
      <c r="A191" t="str">
        <f>_xlfn.XLOOKUP('Raw Data'!A191,$M$2:$M$11,$N$2:$N$11,,1)</f>
        <v>43 - 48</v>
      </c>
      <c r="B191" t="str">
        <f>_xlfn.XLOOKUP('Raw Data'!B191,$Q$2:$Q$9,$R$2:$R$9,,1)</f>
        <v>20 - 25</v>
      </c>
      <c r="C191">
        <v>2</v>
      </c>
      <c r="D191" t="str">
        <f>_xlfn.XLOOKUP('Raw Data'!D191,$V$2:$V$5,$W$2:$W$5,,1)</f>
        <v>15 - 19</v>
      </c>
      <c r="E191">
        <v>2025</v>
      </c>
      <c r="F191" t="str">
        <f>_xlfn.XLOOKUP('Raw Data'!F191,$Q$2:$Q$9,$R$2:$R$9,,1)</f>
        <v>0 - 5</v>
      </c>
      <c r="G191">
        <v>487.95</v>
      </c>
    </row>
    <row r="192" spans="1:7" x14ac:dyDescent="0.25">
      <c r="A192" t="str">
        <f>_xlfn.XLOOKUP('Raw Data'!A192,$M$2:$M$11,$N$2:$N$11,,1)</f>
        <v>23 - 28</v>
      </c>
      <c r="B192" t="str">
        <f>_xlfn.XLOOKUP('Raw Data'!B192,$Q$2:$Q$9,$R$2:$R$9,,1)</f>
        <v>5 - 10</v>
      </c>
      <c r="C192">
        <v>3</v>
      </c>
      <c r="D192" t="str">
        <f>_xlfn.XLOOKUP('Raw Data'!D192,$V$2:$V$5,$W$2:$W$5,,1)</f>
        <v>19 - 23</v>
      </c>
      <c r="E192">
        <v>2017</v>
      </c>
      <c r="F192" t="str">
        <f>_xlfn.XLOOKUP('Raw Data'!F192,$Q$2:$Q$9,$R$2:$R$9,,1)</f>
        <v>5 - 10</v>
      </c>
      <c r="G192">
        <v>499.35</v>
      </c>
    </row>
    <row r="193" spans="1:7" x14ac:dyDescent="0.25">
      <c r="A193" t="str">
        <f>_xlfn.XLOOKUP('Raw Data'!A193,$M$2:$M$11,$N$2:$N$11,,1)</f>
        <v>53 - 58</v>
      </c>
      <c r="B193" t="str">
        <f>_xlfn.XLOOKUP('Raw Data'!B193,$Q$2:$Q$9,$R$2:$R$9,,1)</f>
        <v>0 - 5</v>
      </c>
      <c r="C193">
        <v>5</v>
      </c>
      <c r="D193" t="str">
        <f>_xlfn.XLOOKUP('Raw Data'!D193,$V$2:$V$5,$W$2:$W$5,,1)</f>
        <v>23 - 27</v>
      </c>
      <c r="E193">
        <v>2017</v>
      </c>
      <c r="F193" t="str">
        <f>_xlfn.XLOOKUP('Raw Data'!F193,$Q$2:$Q$9,$R$2:$R$9,,1)</f>
        <v>5 - 10</v>
      </c>
      <c r="G193">
        <v>497.2</v>
      </c>
    </row>
    <row r="194" spans="1:7" x14ac:dyDescent="0.25">
      <c r="A194" t="str">
        <f>_xlfn.XLOOKUP('Raw Data'!A194,$M$2:$M$11,$N$2:$N$11,,1)</f>
        <v>48 - 53</v>
      </c>
      <c r="B194" t="str">
        <f>_xlfn.XLOOKUP('Raw Data'!B194,$Q$2:$Q$9,$R$2:$R$9,,1)</f>
        <v>20 - 25</v>
      </c>
      <c r="C194">
        <v>2</v>
      </c>
      <c r="D194" t="str">
        <f>_xlfn.XLOOKUP('Raw Data'!D194,$V$2:$V$5,$W$2:$W$5,,1)</f>
        <v>23 - 27</v>
      </c>
      <c r="E194">
        <v>2010</v>
      </c>
      <c r="F194" t="str">
        <f>_xlfn.XLOOKUP('Raw Data'!F194,$Q$2:$Q$9,$R$2:$R$9,,1)</f>
        <v>10 - 15</v>
      </c>
      <c r="G194">
        <v>488.8</v>
      </c>
    </row>
    <row r="195" spans="1:7" x14ac:dyDescent="0.25">
      <c r="A195" t="str">
        <f>_xlfn.XLOOKUP('Raw Data'!A195,$M$2:$M$11,$N$2:$N$11,,1)</f>
        <v>58 - 63</v>
      </c>
      <c r="B195" t="str">
        <f>_xlfn.XLOOKUP('Raw Data'!B195,$Q$2:$Q$9,$R$2:$R$9,,1)</f>
        <v>30 - 35</v>
      </c>
      <c r="C195">
        <v>3</v>
      </c>
      <c r="D195" t="str">
        <f>_xlfn.XLOOKUP('Raw Data'!D195,$V$2:$V$5,$W$2:$W$5,,1)</f>
        <v>15 - 19</v>
      </c>
      <c r="E195">
        <v>2013</v>
      </c>
      <c r="F195" t="str">
        <f>_xlfn.XLOOKUP('Raw Data'!F195,$Q$2:$Q$9,$R$2:$R$9,,1)</f>
        <v>10 - 15</v>
      </c>
      <c r="G195">
        <v>485.25</v>
      </c>
    </row>
    <row r="196" spans="1:7" x14ac:dyDescent="0.25">
      <c r="A196" t="str">
        <f>_xlfn.XLOOKUP('Raw Data'!A196,$M$2:$M$11,$N$2:$N$11,,1)</f>
        <v>58 - 63</v>
      </c>
      <c r="B196" t="str">
        <f>_xlfn.XLOOKUP('Raw Data'!B196,$Q$2:$Q$9,$R$2:$R$9,,1)</f>
        <v>25 - 30</v>
      </c>
      <c r="C196">
        <v>1</v>
      </c>
      <c r="D196" t="str">
        <f>_xlfn.XLOOKUP('Raw Data'!D196,$V$2:$V$5,$W$2:$W$5,,1)</f>
        <v>11 - 15</v>
      </c>
      <c r="E196">
        <v>1991</v>
      </c>
      <c r="F196" t="str">
        <f>_xlfn.XLOOKUP('Raw Data'!F196,$Q$2:$Q$9,$R$2:$R$9,,1)</f>
        <v>30 - 35</v>
      </c>
      <c r="G196">
        <v>485</v>
      </c>
    </row>
    <row r="197" spans="1:7" x14ac:dyDescent="0.25">
      <c r="A197" t="str">
        <f>_xlfn.XLOOKUP('Raw Data'!A197,$M$2:$M$11,$N$2:$N$11,,1)</f>
        <v>38 - 43</v>
      </c>
      <c r="B197" t="str">
        <f>_xlfn.XLOOKUP('Raw Data'!B197,$Q$2:$Q$9,$R$2:$R$9,,1)</f>
        <v>20 - 25</v>
      </c>
      <c r="C197">
        <v>5</v>
      </c>
      <c r="D197" t="str">
        <f>_xlfn.XLOOKUP('Raw Data'!D197,$V$2:$V$5,$W$2:$W$5,,1)</f>
        <v>19 - 23</v>
      </c>
      <c r="E197">
        <v>1997</v>
      </c>
      <c r="F197" t="str">
        <f>_xlfn.XLOOKUP('Raw Data'!F197,$Q$2:$Q$9,$R$2:$R$9,,1)</f>
        <v>25 - 30</v>
      </c>
      <c r="G197">
        <v>496.85</v>
      </c>
    </row>
    <row r="198" spans="1:7" x14ac:dyDescent="0.25">
      <c r="A198" t="str">
        <f>_xlfn.XLOOKUP('Raw Data'!A198,$M$2:$M$11,$N$2:$N$11,,1)</f>
        <v>28 - 33</v>
      </c>
      <c r="B198" t="str">
        <f>_xlfn.XLOOKUP('Raw Data'!B198,$Q$2:$Q$9,$R$2:$R$9,,1)</f>
        <v>10 - 15</v>
      </c>
      <c r="C198">
        <v>1</v>
      </c>
      <c r="D198" t="str">
        <f>_xlfn.XLOOKUP('Raw Data'!D198,$V$2:$V$5,$W$2:$W$5,,1)</f>
        <v>11 - 15</v>
      </c>
      <c r="E198">
        <v>2016</v>
      </c>
      <c r="F198" t="str">
        <f>_xlfn.XLOOKUP('Raw Data'!F198,$Q$2:$Q$9,$R$2:$R$9,,1)</f>
        <v>5 - 10</v>
      </c>
      <c r="G198">
        <v>492.5</v>
      </c>
    </row>
    <row r="199" spans="1:7" x14ac:dyDescent="0.25">
      <c r="A199" t="str">
        <f>_xlfn.XLOOKUP('Raw Data'!A199,$M$2:$M$11,$N$2:$N$11,,1)</f>
        <v>48 - 53</v>
      </c>
      <c r="B199" t="str">
        <f>_xlfn.XLOOKUP('Raw Data'!B199,$Q$2:$Q$9,$R$2:$R$9,,1)</f>
        <v>25 - 30</v>
      </c>
      <c r="C199">
        <v>4</v>
      </c>
      <c r="D199" t="str">
        <f>_xlfn.XLOOKUP('Raw Data'!D199,$V$2:$V$5,$W$2:$W$5,,1)</f>
        <v>19 - 23</v>
      </c>
      <c r="E199">
        <v>2011</v>
      </c>
      <c r="F199" t="str">
        <f>_xlfn.XLOOKUP('Raw Data'!F199,$Q$2:$Q$9,$R$2:$R$9,,1)</f>
        <v>10 - 15</v>
      </c>
      <c r="G199">
        <v>490.6</v>
      </c>
    </row>
    <row r="200" spans="1:7" x14ac:dyDescent="0.25">
      <c r="A200" t="str">
        <f>_xlfn.XLOOKUP('Raw Data'!A200,$M$2:$M$11,$N$2:$N$11,,1)</f>
        <v>48 - 53</v>
      </c>
      <c r="B200" t="str">
        <f>_xlfn.XLOOKUP('Raw Data'!B200,$Q$2:$Q$9,$R$2:$R$9,,1)</f>
        <v>15 - 20</v>
      </c>
      <c r="C200">
        <v>5</v>
      </c>
      <c r="D200" t="str">
        <f>_xlfn.XLOOKUP('Raw Data'!D200,$V$2:$V$5,$W$2:$W$5,,1)</f>
        <v>15 - 19</v>
      </c>
      <c r="E200">
        <v>2016</v>
      </c>
      <c r="F200" t="str">
        <f>_xlfn.XLOOKUP('Raw Data'!F200,$Q$2:$Q$9,$R$2:$R$9,,1)</f>
        <v>5 - 10</v>
      </c>
      <c r="G200">
        <v>493.5</v>
      </c>
    </row>
    <row r="201" spans="1:7" x14ac:dyDescent="0.25">
      <c r="A201" t="str">
        <f>_xlfn.XLOOKUP('Raw Data'!A201,$M$2:$M$11,$N$2:$N$11,,1)</f>
        <v>38 - 43</v>
      </c>
      <c r="B201" t="str">
        <f>_xlfn.XLOOKUP('Raw Data'!B201,$Q$2:$Q$9,$R$2:$R$9,,1)</f>
        <v>5 - 10</v>
      </c>
      <c r="C201">
        <v>3</v>
      </c>
      <c r="D201" t="str">
        <f>_xlfn.XLOOKUP('Raw Data'!D201,$V$2:$V$5,$W$2:$W$5,,1)</f>
        <v>11 - 15</v>
      </c>
      <c r="E201">
        <v>2018</v>
      </c>
      <c r="F201" t="str">
        <f>_xlfn.XLOOKUP('Raw Data'!F201,$Q$2:$Q$9,$R$2:$R$9,,1)</f>
        <v>5 - 10</v>
      </c>
      <c r="G201">
        <v>495.8</v>
      </c>
    </row>
    <row r="202" spans="1:7" x14ac:dyDescent="0.25">
      <c r="A202" t="str">
        <f>_xlfn.XLOOKUP('Raw Data'!A202,$M$2:$M$11,$N$2:$N$11,,1)</f>
        <v>53 - 58</v>
      </c>
      <c r="B202" t="str">
        <f>_xlfn.XLOOKUP('Raw Data'!B202,$Q$2:$Q$9,$R$2:$R$9,,1)</f>
        <v>15 - 20</v>
      </c>
      <c r="C202">
        <v>4</v>
      </c>
      <c r="D202" t="str">
        <f>_xlfn.XLOOKUP('Raw Data'!D202,$V$2:$V$5,$W$2:$W$5,,1)</f>
        <v>15 - 19</v>
      </c>
      <c r="E202">
        <v>1992</v>
      </c>
      <c r="F202" t="str">
        <f>_xlfn.XLOOKUP('Raw Data'!F202,$Q$2:$Q$9,$R$2:$R$9,,1)</f>
        <v>30 - 35</v>
      </c>
      <c r="G202">
        <v>493.85</v>
      </c>
    </row>
    <row r="203" spans="1:7" x14ac:dyDescent="0.25">
      <c r="A203" t="str">
        <f>_xlfn.XLOOKUP('Raw Data'!A203,$M$2:$M$11,$N$2:$N$11,,1)</f>
        <v>28 - 33</v>
      </c>
      <c r="B203" t="str">
        <f>_xlfn.XLOOKUP('Raw Data'!B203,$Q$2:$Q$9,$R$2:$R$9,,1)</f>
        <v>10 - 15</v>
      </c>
      <c r="C203">
        <v>0</v>
      </c>
      <c r="D203" t="str">
        <f>_xlfn.XLOOKUP('Raw Data'!D203,$V$2:$V$5,$W$2:$W$5,,1)</f>
        <v>19 - 23</v>
      </c>
      <c r="E203">
        <v>2002</v>
      </c>
      <c r="F203" t="str">
        <f>_xlfn.XLOOKUP('Raw Data'!F203,$Q$2:$Q$9,$R$2:$R$9,,1)</f>
        <v>20 - 25</v>
      </c>
      <c r="G203">
        <v>494.35</v>
      </c>
    </row>
    <row r="204" spans="1:7" x14ac:dyDescent="0.25">
      <c r="A204" t="str">
        <f>_xlfn.XLOOKUP('Raw Data'!A204,$M$2:$M$11,$N$2:$N$11,,1)</f>
        <v>53 - 58</v>
      </c>
      <c r="B204" t="str">
        <f>_xlfn.XLOOKUP('Raw Data'!B204,$Q$2:$Q$9,$R$2:$R$9,,1)</f>
        <v>35 - 40</v>
      </c>
      <c r="C204">
        <v>3</v>
      </c>
      <c r="D204" t="str">
        <f>_xlfn.XLOOKUP('Raw Data'!D204,$V$2:$V$5,$W$2:$W$5,,1)</f>
        <v>23 - 27</v>
      </c>
      <c r="E204">
        <v>1999</v>
      </c>
      <c r="F204" t="str">
        <f>_xlfn.XLOOKUP('Raw Data'!F204,$Q$2:$Q$9,$R$2:$R$9,,1)</f>
        <v>25 - 30</v>
      </c>
      <c r="G204">
        <v>485.7</v>
      </c>
    </row>
    <row r="205" spans="1:7" x14ac:dyDescent="0.25">
      <c r="A205" t="str">
        <f>_xlfn.XLOOKUP('Raw Data'!A205,$M$2:$M$11,$N$2:$N$11,,1)</f>
        <v>18 - 23</v>
      </c>
      <c r="B205" t="str">
        <f>_xlfn.XLOOKUP('Raw Data'!B205,$Q$2:$Q$9,$R$2:$R$9,,1)</f>
        <v>0 - 5</v>
      </c>
      <c r="C205">
        <v>2</v>
      </c>
      <c r="D205" t="str">
        <f>_xlfn.XLOOKUP('Raw Data'!D205,$V$2:$V$5,$W$2:$W$5,,1)</f>
        <v>15 - 19</v>
      </c>
      <c r="E205">
        <v>2025</v>
      </c>
      <c r="F205" t="str">
        <f>_xlfn.XLOOKUP('Raw Data'!F205,$Q$2:$Q$9,$R$2:$R$9,,1)</f>
        <v>0 - 5</v>
      </c>
      <c r="G205">
        <v>499.7</v>
      </c>
    </row>
    <row r="206" spans="1:7" x14ac:dyDescent="0.25">
      <c r="A206" t="str">
        <f>_xlfn.XLOOKUP('Raw Data'!A206,$M$2:$M$11,$N$2:$N$11,,1)</f>
        <v>18 - 23</v>
      </c>
      <c r="B206" t="str">
        <f>_xlfn.XLOOKUP('Raw Data'!B206,$Q$2:$Q$9,$R$2:$R$9,,1)</f>
        <v>0 - 5</v>
      </c>
      <c r="C206">
        <v>0</v>
      </c>
      <c r="D206" t="str">
        <f>_xlfn.XLOOKUP('Raw Data'!D206,$V$2:$V$5,$W$2:$W$5,,1)</f>
        <v>15 - 19</v>
      </c>
      <c r="E206">
        <v>1998</v>
      </c>
      <c r="F206" t="str">
        <f>_xlfn.XLOOKUP('Raw Data'!F206,$Q$2:$Q$9,$R$2:$R$9,,1)</f>
        <v>25 - 30</v>
      </c>
      <c r="G206">
        <v>499.05</v>
      </c>
    </row>
    <row r="207" spans="1:7" x14ac:dyDescent="0.25">
      <c r="A207" t="str">
        <f>_xlfn.XLOOKUP('Raw Data'!A207,$M$2:$M$11,$N$2:$N$11,,1)</f>
        <v>53 - 58</v>
      </c>
      <c r="B207" t="str">
        <f>_xlfn.XLOOKUP('Raw Data'!B207,$Q$2:$Q$9,$R$2:$R$9,,1)</f>
        <v>25 - 30</v>
      </c>
      <c r="C207">
        <v>0</v>
      </c>
      <c r="D207" t="str">
        <f>_xlfn.XLOOKUP('Raw Data'!D207,$V$2:$V$5,$W$2:$W$5,,1)</f>
        <v>15 - 19</v>
      </c>
      <c r="E207">
        <v>2016</v>
      </c>
      <c r="F207" t="str">
        <f>_xlfn.XLOOKUP('Raw Data'!F207,$Q$2:$Q$9,$R$2:$R$9,,1)</f>
        <v>5 - 10</v>
      </c>
      <c r="G207">
        <v>482.9</v>
      </c>
    </row>
    <row r="208" spans="1:7" x14ac:dyDescent="0.25">
      <c r="A208" t="str">
        <f>_xlfn.XLOOKUP('Raw Data'!A208,$M$2:$M$11,$N$2:$N$11,,1)</f>
        <v>33 - 38</v>
      </c>
      <c r="B208" t="str">
        <f>_xlfn.XLOOKUP('Raw Data'!B208,$Q$2:$Q$9,$R$2:$R$9,,1)</f>
        <v>15 - 20</v>
      </c>
      <c r="C208">
        <v>2</v>
      </c>
      <c r="D208" t="str">
        <f>_xlfn.XLOOKUP('Raw Data'!D208,$V$2:$V$5,$W$2:$W$5,,1)</f>
        <v>23 - 27</v>
      </c>
      <c r="E208">
        <v>2023</v>
      </c>
      <c r="F208" t="str">
        <f>_xlfn.XLOOKUP('Raw Data'!F208,$Q$2:$Q$9,$R$2:$R$9,,1)</f>
        <v>0 - 5</v>
      </c>
      <c r="G208">
        <v>492.85</v>
      </c>
    </row>
    <row r="209" spans="1:7" x14ac:dyDescent="0.25">
      <c r="A209" t="str">
        <f>_xlfn.XLOOKUP('Raw Data'!A209,$M$2:$M$11,$N$2:$N$11,,1)</f>
        <v>18 - 23</v>
      </c>
      <c r="B209" t="str">
        <f>_xlfn.XLOOKUP('Raw Data'!B209,$Q$2:$Q$9,$R$2:$R$9,,1)</f>
        <v>0 - 5</v>
      </c>
      <c r="C209">
        <v>5</v>
      </c>
      <c r="D209" t="str">
        <f>_xlfn.XLOOKUP('Raw Data'!D209,$V$2:$V$5,$W$2:$W$5,,1)</f>
        <v>23 - 27</v>
      </c>
      <c r="E209">
        <v>1990</v>
      </c>
      <c r="F209" t="str">
        <f>_xlfn.XLOOKUP('Raw Data'!F209,$Q$2:$Q$9,$R$2:$R$9,,1)</f>
        <v>30 - 35</v>
      </c>
      <c r="G209">
        <v>508.15</v>
      </c>
    </row>
    <row r="210" spans="1:7" x14ac:dyDescent="0.25">
      <c r="A210" t="str">
        <f>_xlfn.XLOOKUP('Raw Data'!A210,$M$2:$M$11,$N$2:$N$11,,1)</f>
        <v>18 - 23</v>
      </c>
      <c r="B210" t="str">
        <f>_xlfn.XLOOKUP('Raw Data'!B210,$Q$2:$Q$9,$R$2:$R$9,,1)</f>
        <v>0 - 5</v>
      </c>
      <c r="C210">
        <v>0</v>
      </c>
      <c r="D210" t="str">
        <f>_xlfn.XLOOKUP('Raw Data'!D210,$V$2:$V$5,$W$2:$W$5,,1)</f>
        <v>15 - 19</v>
      </c>
      <c r="E210">
        <v>2021</v>
      </c>
      <c r="F210" t="str">
        <f>_xlfn.XLOOKUP('Raw Data'!F210,$Q$2:$Q$9,$R$2:$R$9,,1)</f>
        <v>0 - 5</v>
      </c>
      <c r="G210">
        <v>497.45</v>
      </c>
    </row>
    <row r="211" spans="1:7" x14ac:dyDescent="0.25">
      <c r="A211" t="str">
        <f>_xlfn.XLOOKUP('Raw Data'!A211,$M$2:$M$11,$N$2:$N$11,,1)</f>
        <v>43 - 48</v>
      </c>
      <c r="B211" t="str">
        <f>_xlfn.XLOOKUP('Raw Data'!B211,$Q$2:$Q$9,$R$2:$R$9,,1)</f>
        <v>25 - 30</v>
      </c>
      <c r="C211">
        <v>3</v>
      </c>
      <c r="D211" t="str">
        <f>_xlfn.XLOOKUP('Raw Data'!D211,$V$2:$V$5,$W$2:$W$5,,1)</f>
        <v>19 - 23</v>
      </c>
      <c r="E211">
        <v>2014</v>
      </c>
      <c r="F211" t="str">
        <f>_xlfn.XLOOKUP('Raw Data'!F211,$Q$2:$Q$9,$R$2:$R$9,,1)</f>
        <v>10 - 15</v>
      </c>
      <c r="G211">
        <v>489.65</v>
      </c>
    </row>
    <row r="212" spans="1:7" x14ac:dyDescent="0.25">
      <c r="A212" t="str">
        <f>_xlfn.XLOOKUP('Raw Data'!A212,$M$2:$M$11,$N$2:$N$11,,1)</f>
        <v>38 - 43</v>
      </c>
      <c r="B212" t="str">
        <f>_xlfn.XLOOKUP('Raw Data'!B212,$Q$2:$Q$9,$R$2:$R$9,,1)</f>
        <v>10 - 15</v>
      </c>
      <c r="C212">
        <v>4</v>
      </c>
      <c r="D212" t="str">
        <f>_xlfn.XLOOKUP('Raw Data'!D212,$V$2:$V$5,$W$2:$W$5,,1)</f>
        <v>23 - 27</v>
      </c>
      <c r="E212">
        <v>2018</v>
      </c>
      <c r="F212" t="str">
        <f>_xlfn.XLOOKUP('Raw Data'!F212,$Q$2:$Q$9,$R$2:$R$9,,1)</f>
        <v>5 - 10</v>
      </c>
      <c r="G212">
        <v>496.3</v>
      </c>
    </row>
    <row r="213" spans="1:7" x14ac:dyDescent="0.25">
      <c r="A213" t="str">
        <f>_xlfn.XLOOKUP('Raw Data'!A213,$M$2:$M$11,$N$2:$N$11,,1)</f>
        <v>53 - 58</v>
      </c>
      <c r="B213" t="str">
        <f>_xlfn.XLOOKUP('Raw Data'!B213,$Q$2:$Q$9,$R$2:$R$9,,1)</f>
        <v>25 - 30</v>
      </c>
      <c r="C213">
        <v>0</v>
      </c>
      <c r="D213" t="str">
        <f>_xlfn.XLOOKUP('Raw Data'!D213,$V$2:$V$5,$W$2:$W$5,,1)</f>
        <v>11 - 15</v>
      </c>
      <c r="E213">
        <v>1996</v>
      </c>
      <c r="F213" t="str">
        <f>_xlfn.XLOOKUP('Raw Data'!F213,$Q$2:$Q$9,$R$2:$R$9,,1)</f>
        <v>25 - 30</v>
      </c>
      <c r="G213">
        <v>483.95</v>
      </c>
    </row>
    <row r="214" spans="1:7" x14ac:dyDescent="0.25">
      <c r="A214" t="str">
        <f>_xlfn.XLOOKUP('Raw Data'!A214,$M$2:$M$11,$N$2:$N$11,,1)</f>
        <v>48 - 53</v>
      </c>
      <c r="B214" t="str">
        <f>_xlfn.XLOOKUP('Raw Data'!B214,$Q$2:$Q$9,$R$2:$R$9,,1)</f>
        <v>20 - 25</v>
      </c>
      <c r="C214">
        <v>3</v>
      </c>
      <c r="D214" t="str">
        <f>_xlfn.XLOOKUP('Raw Data'!D214,$V$2:$V$5,$W$2:$W$5,,1)</f>
        <v>23 - 27</v>
      </c>
      <c r="E214">
        <v>1992</v>
      </c>
      <c r="F214" t="str">
        <f>_xlfn.XLOOKUP('Raw Data'!F214,$Q$2:$Q$9,$R$2:$R$9,,1)</f>
        <v>30 - 35</v>
      </c>
      <c r="G214">
        <v>492.6</v>
      </c>
    </row>
    <row r="215" spans="1:7" x14ac:dyDescent="0.25">
      <c r="A215" t="str">
        <f>_xlfn.XLOOKUP('Raw Data'!A215,$M$2:$M$11,$N$2:$N$11,,1)</f>
        <v>48 - 53</v>
      </c>
      <c r="B215" t="str">
        <f>_xlfn.XLOOKUP('Raw Data'!B215,$Q$2:$Q$9,$R$2:$R$9,,1)</f>
        <v>15 - 20</v>
      </c>
      <c r="C215">
        <v>1</v>
      </c>
      <c r="D215" t="str">
        <f>_xlfn.XLOOKUP('Raw Data'!D215,$V$2:$V$5,$W$2:$W$5,,1)</f>
        <v>19 - 23</v>
      </c>
      <c r="E215">
        <v>2009</v>
      </c>
      <c r="F215" t="str">
        <f>_xlfn.XLOOKUP('Raw Data'!F215,$Q$2:$Q$9,$R$2:$R$9,,1)</f>
        <v>15 - 20</v>
      </c>
      <c r="G215">
        <v>488.8</v>
      </c>
    </row>
    <row r="216" spans="1:7" x14ac:dyDescent="0.25">
      <c r="A216" t="str">
        <f>_xlfn.XLOOKUP('Raw Data'!A216,$M$2:$M$11,$N$2:$N$11,,1)</f>
        <v>18 - 23</v>
      </c>
      <c r="B216" t="str">
        <f>_xlfn.XLOOKUP('Raw Data'!B216,$Q$2:$Q$9,$R$2:$R$9,,1)</f>
        <v>0 - 5</v>
      </c>
      <c r="C216">
        <v>3</v>
      </c>
      <c r="D216" t="str">
        <f>_xlfn.XLOOKUP('Raw Data'!D216,$V$2:$V$5,$W$2:$W$5,,1)</f>
        <v>11 - 15</v>
      </c>
      <c r="E216">
        <v>2009</v>
      </c>
      <c r="F216" t="str">
        <f>_xlfn.XLOOKUP('Raw Data'!F216,$Q$2:$Q$9,$R$2:$R$9,,1)</f>
        <v>15 - 20</v>
      </c>
      <c r="G216">
        <v>503.15</v>
      </c>
    </row>
    <row r="217" spans="1:7" x14ac:dyDescent="0.25">
      <c r="A217" t="str">
        <f>_xlfn.XLOOKUP('Raw Data'!A217,$M$2:$M$11,$N$2:$N$11,,1)</f>
        <v>33 - 38</v>
      </c>
      <c r="B217" t="str">
        <f>_xlfn.XLOOKUP('Raw Data'!B217,$Q$2:$Q$9,$R$2:$R$9,,1)</f>
        <v>15 - 20</v>
      </c>
      <c r="C217">
        <v>4</v>
      </c>
      <c r="D217" t="str">
        <f>_xlfn.XLOOKUP('Raw Data'!D217,$V$2:$V$5,$W$2:$W$5,,1)</f>
        <v>19 - 23</v>
      </c>
      <c r="E217">
        <v>2019</v>
      </c>
      <c r="F217" t="str">
        <f>_xlfn.XLOOKUP('Raw Data'!F217,$Q$2:$Q$9,$R$2:$R$9,,1)</f>
        <v>5 - 10</v>
      </c>
      <c r="G217">
        <v>495.05</v>
      </c>
    </row>
    <row r="218" spans="1:7" x14ac:dyDescent="0.25">
      <c r="A218" t="str">
        <f>_xlfn.XLOOKUP('Raw Data'!A218,$M$2:$M$11,$N$2:$N$11,,1)</f>
        <v>18 - 23</v>
      </c>
      <c r="B218" t="str">
        <f>_xlfn.XLOOKUP('Raw Data'!B218,$Q$2:$Q$9,$R$2:$R$9,,1)</f>
        <v>0 - 5</v>
      </c>
      <c r="C218">
        <v>3</v>
      </c>
      <c r="D218" t="str">
        <f>_xlfn.XLOOKUP('Raw Data'!D218,$V$2:$V$5,$W$2:$W$5,,1)</f>
        <v>23 - 27</v>
      </c>
      <c r="E218">
        <v>2024</v>
      </c>
      <c r="F218" t="str">
        <f>_xlfn.XLOOKUP('Raw Data'!F218,$Q$2:$Q$9,$R$2:$R$9,,1)</f>
        <v>0 - 5</v>
      </c>
      <c r="G218">
        <v>501.7</v>
      </c>
    </row>
    <row r="219" spans="1:7" x14ac:dyDescent="0.25">
      <c r="A219" t="str">
        <f>_xlfn.XLOOKUP('Raw Data'!A219,$M$2:$M$11,$N$2:$N$11,,1)</f>
        <v>58 - 63</v>
      </c>
      <c r="B219" t="str">
        <f>_xlfn.XLOOKUP('Raw Data'!B219,$Q$2:$Q$9,$R$2:$R$9,,1)</f>
        <v>25 - 30</v>
      </c>
      <c r="C219">
        <v>2</v>
      </c>
      <c r="D219" t="str">
        <f>_xlfn.XLOOKUP('Raw Data'!D219,$V$2:$V$5,$W$2:$W$5,,1)</f>
        <v>11 - 15</v>
      </c>
      <c r="E219">
        <v>2024</v>
      </c>
      <c r="F219" t="str">
        <f>_xlfn.XLOOKUP('Raw Data'!F219,$Q$2:$Q$9,$R$2:$R$9,,1)</f>
        <v>0 - 5</v>
      </c>
      <c r="G219">
        <v>483.1</v>
      </c>
    </row>
    <row r="220" spans="1:7" x14ac:dyDescent="0.25">
      <c r="A220" t="str">
        <f>_xlfn.XLOOKUP('Raw Data'!A220,$M$2:$M$11,$N$2:$N$11,,1)</f>
        <v>38 - 43</v>
      </c>
      <c r="B220" t="str">
        <f>_xlfn.XLOOKUP('Raw Data'!B220,$Q$2:$Q$9,$R$2:$R$9,,1)</f>
        <v>20 - 25</v>
      </c>
      <c r="C220">
        <v>4</v>
      </c>
      <c r="D220" t="str">
        <f>_xlfn.XLOOKUP('Raw Data'!D220,$V$2:$V$5,$W$2:$W$5,,1)</f>
        <v>11 - 15</v>
      </c>
      <c r="E220">
        <v>2016</v>
      </c>
      <c r="F220" t="str">
        <f>_xlfn.XLOOKUP('Raw Data'!F220,$Q$2:$Q$9,$R$2:$R$9,,1)</f>
        <v>5 - 10</v>
      </c>
      <c r="G220">
        <v>491.55</v>
      </c>
    </row>
    <row r="221" spans="1:7" x14ac:dyDescent="0.25">
      <c r="A221" t="str">
        <f>_xlfn.XLOOKUP('Raw Data'!A221,$M$2:$M$11,$N$2:$N$11,,1)</f>
        <v>48 - 53</v>
      </c>
      <c r="B221" t="str">
        <f>_xlfn.XLOOKUP('Raw Data'!B221,$Q$2:$Q$9,$R$2:$R$9,,1)</f>
        <v>10 - 15</v>
      </c>
      <c r="C221">
        <v>5</v>
      </c>
      <c r="D221" t="str">
        <f>_xlfn.XLOOKUP('Raw Data'!D221,$V$2:$V$5,$W$2:$W$5,,1)</f>
        <v>23 - 27</v>
      </c>
      <c r="E221">
        <v>2015</v>
      </c>
      <c r="F221" t="str">
        <f>_xlfn.XLOOKUP('Raw Data'!F221,$Q$2:$Q$9,$R$2:$R$9,,1)</f>
        <v>5 - 10</v>
      </c>
      <c r="G221">
        <v>495.45</v>
      </c>
    </row>
    <row r="222" spans="1:7" x14ac:dyDescent="0.25">
      <c r="A222" t="str">
        <f>_xlfn.XLOOKUP('Raw Data'!A222,$M$2:$M$11,$N$2:$N$11,,1)</f>
        <v>18 - 23</v>
      </c>
      <c r="B222" t="str">
        <f>_xlfn.XLOOKUP('Raw Data'!B222,$Q$2:$Q$9,$R$2:$R$9,,1)</f>
        <v>0 - 5</v>
      </c>
      <c r="C222">
        <v>1</v>
      </c>
      <c r="D222" t="str">
        <f>_xlfn.XLOOKUP('Raw Data'!D222,$V$2:$V$5,$W$2:$W$5,,1)</f>
        <v>11 - 15</v>
      </c>
      <c r="E222">
        <v>2003</v>
      </c>
      <c r="F222" t="str">
        <f>_xlfn.XLOOKUP('Raw Data'!F222,$Q$2:$Q$9,$R$2:$R$9,,1)</f>
        <v>20 - 25</v>
      </c>
      <c r="G222">
        <v>498.35</v>
      </c>
    </row>
    <row r="223" spans="1:7" x14ac:dyDescent="0.25">
      <c r="A223" t="str">
        <f>_xlfn.XLOOKUP('Raw Data'!A223,$M$2:$M$11,$N$2:$N$11,,1)</f>
        <v>48 - 53</v>
      </c>
      <c r="B223" t="str">
        <f>_xlfn.XLOOKUP('Raw Data'!B223,$Q$2:$Q$9,$R$2:$R$9,,1)</f>
        <v>15 - 20</v>
      </c>
      <c r="C223">
        <v>2</v>
      </c>
      <c r="D223" t="str">
        <f>_xlfn.XLOOKUP('Raw Data'!D223,$V$2:$V$5,$W$2:$W$5,,1)</f>
        <v>11 - 15</v>
      </c>
      <c r="E223">
        <v>2006</v>
      </c>
      <c r="F223" t="str">
        <f>_xlfn.XLOOKUP('Raw Data'!F223,$Q$2:$Q$9,$R$2:$R$9,,1)</f>
        <v>15 - 20</v>
      </c>
      <c r="G223">
        <v>490.45</v>
      </c>
    </row>
    <row r="224" spans="1:7" x14ac:dyDescent="0.25">
      <c r="A224" t="str">
        <f>_xlfn.XLOOKUP('Raw Data'!A224,$M$2:$M$11,$N$2:$N$11,,1)</f>
        <v>18 - 23</v>
      </c>
      <c r="B224" t="str">
        <f>_xlfn.XLOOKUP('Raw Data'!B224,$Q$2:$Q$9,$R$2:$R$9,,1)</f>
        <v>0 - 5</v>
      </c>
      <c r="C224">
        <v>5</v>
      </c>
      <c r="D224" t="str">
        <f>_xlfn.XLOOKUP('Raw Data'!D224,$V$2:$V$5,$W$2:$W$5,,1)</f>
        <v>11 - 15</v>
      </c>
      <c r="E224">
        <v>2007</v>
      </c>
      <c r="F224" t="str">
        <f>_xlfn.XLOOKUP('Raw Data'!F224,$Q$2:$Q$9,$R$2:$R$9,,1)</f>
        <v>15 - 20</v>
      </c>
      <c r="G224">
        <v>504.9</v>
      </c>
    </row>
    <row r="225" spans="1:7" x14ac:dyDescent="0.25">
      <c r="A225" t="str">
        <f>_xlfn.XLOOKUP('Raw Data'!A225,$M$2:$M$11,$N$2:$N$11,,1)</f>
        <v>23 - 28</v>
      </c>
      <c r="B225" t="str">
        <f>_xlfn.XLOOKUP('Raw Data'!B225,$Q$2:$Q$9,$R$2:$R$9,,1)</f>
        <v>0 - 5</v>
      </c>
      <c r="C225">
        <v>3</v>
      </c>
      <c r="D225" t="str">
        <f>_xlfn.XLOOKUP('Raw Data'!D225,$V$2:$V$5,$W$2:$W$5,,1)</f>
        <v>11 - 15</v>
      </c>
      <c r="E225">
        <v>2018</v>
      </c>
      <c r="F225" t="str">
        <f>_xlfn.XLOOKUP('Raw Data'!F225,$Q$2:$Q$9,$R$2:$R$9,,1)</f>
        <v>5 - 10</v>
      </c>
      <c r="G225">
        <v>500.35</v>
      </c>
    </row>
    <row r="226" spans="1:7" x14ac:dyDescent="0.25">
      <c r="A226" t="str">
        <f>_xlfn.XLOOKUP('Raw Data'!A226,$M$2:$M$11,$N$2:$N$11,,1)</f>
        <v>33 - 38</v>
      </c>
      <c r="B226" t="str">
        <f>_xlfn.XLOOKUP('Raw Data'!B226,$Q$2:$Q$9,$R$2:$R$9,,1)</f>
        <v>10 - 15</v>
      </c>
      <c r="C226">
        <v>4</v>
      </c>
      <c r="D226" t="str">
        <f>_xlfn.XLOOKUP('Raw Data'!D226,$V$2:$V$5,$W$2:$W$5,,1)</f>
        <v>11 - 15</v>
      </c>
      <c r="E226">
        <v>2009</v>
      </c>
      <c r="F226" t="str">
        <f>_xlfn.XLOOKUP('Raw Data'!F226,$Q$2:$Q$9,$R$2:$R$9,,1)</f>
        <v>15 - 20</v>
      </c>
      <c r="G226">
        <v>497.55</v>
      </c>
    </row>
    <row r="227" spans="1:7" x14ac:dyDescent="0.25">
      <c r="A227" t="str">
        <f>_xlfn.XLOOKUP('Raw Data'!A227,$M$2:$M$11,$N$2:$N$11,,1)</f>
        <v>53 - 58</v>
      </c>
      <c r="B227" t="str">
        <f>_xlfn.XLOOKUP('Raw Data'!B227,$Q$2:$Q$9,$R$2:$R$9,,1)</f>
        <v>0 - 5</v>
      </c>
      <c r="C227">
        <v>1</v>
      </c>
      <c r="D227" t="str">
        <f>_xlfn.XLOOKUP('Raw Data'!D227,$V$2:$V$5,$W$2:$W$5,,1)</f>
        <v>19 - 23</v>
      </c>
      <c r="E227">
        <v>2016</v>
      </c>
      <c r="F227" t="str">
        <f>_xlfn.XLOOKUP('Raw Data'!F227,$Q$2:$Q$9,$R$2:$R$9,,1)</f>
        <v>5 - 10</v>
      </c>
      <c r="G227">
        <v>492.2</v>
      </c>
    </row>
    <row r="228" spans="1:7" x14ac:dyDescent="0.25">
      <c r="A228" t="str">
        <f>_xlfn.XLOOKUP('Raw Data'!A228,$M$2:$M$11,$N$2:$N$11,,1)</f>
        <v>38 - 43</v>
      </c>
      <c r="B228" t="str">
        <f>_xlfn.XLOOKUP('Raw Data'!B228,$Q$2:$Q$9,$R$2:$R$9,,1)</f>
        <v>20 - 25</v>
      </c>
      <c r="C228">
        <v>2</v>
      </c>
      <c r="D228" t="str">
        <f>_xlfn.XLOOKUP('Raw Data'!D228,$V$2:$V$5,$W$2:$W$5,,1)</f>
        <v>11 - 15</v>
      </c>
      <c r="E228">
        <v>2007</v>
      </c>
      <c r="F228" t="str">
        <f>_xlfn.XLOOKUP('Raw Data'!F228,$Q$2:$Q$9,$R$2:$R$9,,1)</f>
        <v>15 - 20</v>
      </c>
      <c r="G228">
        <v>490.25</v>
      </c>
    </row>
    <row r="229" spans="1:7" x14ac:dyDescent="0.25">
      <c r="A229" t="str">
        <f>_xlfn.XLOOKUP('Raw Data'!A229,$M$2:$M$11,$N$2:$N$11,,1)</f>
        <v>18 - 23</v>
      </c>
      <c r="B229" t="str">
        <f>_xlfn.XLOOKUP('Raw Data'!B229,$Q$2:$Q$9,$R$2:$R$9,,1)</f>
        <v>0 - 5</v>
      </c>
      <c r="C229">
        <v>5</v>
      </c>
      <c r="D229" t="str">
        <f>_xlfn.XLOOKUP('Raw Data'!D229,$V$2:$V$5,$W$2:$W$5,,1)</f>
        <v>11 - 15</v>
      </c>
      <c r="E229">
        <v>1993</v>
      </c>
      <c r="F229" t="str">
        <f>_xlfn.XLOOKUP('Raw Data'!F229,$Q$2:$Q$9,$R$2:$R$9,,1)</f>
        <v>30 - 35</v>
      </c>
      <c r="G229">
        <v>505.85</v>
      </c>
    </row>
    <row r="230" spans="1:7" x14ac:dyDescent="0.25">
      <c r="A230" t="str">
        <f>_xlfn.XLOOKUP('Raw Data'!A230,$M$2:$M$11,$N$2:$N$11,,1)</f>
        <v>48 - 53</v>
      </c>
      <c r="B230" t="str">
        <f>_xlfn.XLOOKUP('Raw Data'!B230,$Q$2:$Q$9,$R$2:$R$9,,1)</f>
        <v>30 - 35</v>
      </c>
      <c r="C230">
        <v>5</v>
      </c>
      <c r="D230" t="str">
        <f>_xlfn.XLOOKUP('Raw Data'!D230,$V$2:$V$5,$W$2:$W$5,,1)</f>
        <v>19 - 23</v>
      </c>
      <c r="E230">
        <v>1990</v>
      </c>
      <c r="F230" t="str">
        <f>_xlfn.XLOOKUP('Raw Data'!F230,$Q$2:$Q$9,$R$2:$R$9,,1)</f>
        <v>30 - 35</v>
      </c>
      <c r="G230">
        <v>492.05</v>
      </c>
    </row>
    <row r="231" spans="1:7" x14ac:dyDescent="0.25">
      <c r="A231" t="str">
        <f>_xlfn.XLOOKUP('Raw Data'!A231,$M$2:$M$11,$N$2:$N$11,,1)</f>
        <v>18 - 23</v>
      </c>
      <c r="B231" t="str">
        <f>_xlfn.XLOOKUP('Raw Data'!B231,$Q$2:$Q$9,$R$2:$R$9,,1)</f>
        <v>0 - 5</v>
      </c>
      <c r="C231">
        <v>1</v>
      </c>
      <c r="D231" t="str">
        <f>_xlfn.XLOOKUP('Raw Data'!D231,$V$2:$V$5,$W$2:$W$5,,1)</f>
        <v>15 - 19</v>
      </c>
      <c r="E231">
        <v>1990</v>
      </c>
      <c r="F231" t="str">
        <f>_xlfn.XLOOKUP('Raw Data'!F231,$Q$2:$Q$9,$R$2:$R$9,,1)</f>
        <v>30 - 35</v>
      </c>
      <c r="G231">
        <v>500.45</v>
      </c>
    </row>
    <row r="232" spans="1:7" x14ac:dyDescent="0.25">
      <c r="A232" t="str">
        <f>_xlfn.XLOOKUP('Raw Data'!A232,$M$2:$M$11,$N$2:$N$11,,1)</f>
        <v>38 - 43</v>
      </c>
      <c r="B232" t="str">
        <f>_xlfn.XLOOKUP('Raw Data'!B232,$Q$2:$Q$9,$R$2:$R$9,,1)</f>
        <v>0 - 5</v>
      </c>
      <c r="C232">
        <v>3</v>
      </c>
      <c r="D232" t="str">
        <f>_xlfn.XLOOKUP('Raw Data'!D232,$V$2:$V$5,$W$2:$W$5,,1)</f>
        <v>19 - 23</v>
      </c>
      <c r="E232">
        <v>2015</v>
      </c>
      <c r="F232" t="str">
        <f>_xlfn.XLOOKUP('Raw Data'!F232,$Q$2:$Q$9,$R$2:$R$9,,1)</f>
        <v>5 - 10</v>
      </c>
      <c r="G232">
        <v>498.85</v>
      </c>
    </row>
    <row r="233" spans="1:7" x14ac:dyDescent="0.25">
      <c r="A233" t="str">
        <f>_xlfn.XLOOKUP('Raw Data'!A233,$M$2:$M$11,$N$2:$N$11,,1)</f>
        <v>23 - 28</v>
      </c>
      <c r="B233" t="str">
        <f>_xlfn.XLOOKUP('Raw Data'!B233,$Q$2:$Q$9,$R$2:$R$9,,1)</f>
        <v>5 - 10</v>
      </c>
      <c r="C233">
        <v>1</v>
      </c>
      <c r="D233" t="str">
        <f>_xlfn.XLOOKUP('Raw Data'!D233,$V$2:$V$5,$W$2:$W$5,,1)</f>
        <v>15 - 19</v>
      </c>
      <c r="E233">
        <v>2009</v>
      </c>
      <c r="F233" t="str">
        <f>_xlfn.XLOOKUP('Raw Data'!F233,$Q$2:$Q$9,$R$2:$R$9,,1)</f>
        <v>15 - 20</v>
      </c>
      <c r="G233">
        <v>496.35</v>
      </c>
    </row>
    <row r="234" spans="1:7" x14ac:dyDescent="0.25">
      <c r="A234" t="str">
        <f>_xlfn.XLOOKUP('Raw Data'!A234,$M$2:$M$11,$N$2:$N$11,,1)</f>
        <v>63 - 68</v>
      </c>
      <c r="B234" t="str">
        <f>_xlfn.XLOOKUP('Raw Data'!B234,$Q$2:$Q$9,$R$2:$R$9,,1)</f>
        <v>25 - 30</v>
      </c>
      <c r="C234">
        <v>5</v>
      </c>
      <c r="D234" t="str">
        <f>_xlfn.XLOOKUP('Raw Data'!D234,$V$2:$V$5,$W$2:$W$5,,1)</f>
        <v>11 - 15</v>
      </c>
      <c r="E234">
        <v>2012</v>
      </c>
      <c r="F234" t="str">
        <f>_xlfn.XLOOKUP('Raw Data'!F234,$Q$2:$Q$9,$R$2:$R$9,,1)</f>
        <v>10 - 15</v>
      </c>
      <c r="G234">
        <v>488.1</v>
      </c>
    </row>
    <row r="235" spans="1:7" x14ac:dyDescent="0.25">
      <c r="A235" t="str">
        <f>_xlfn.XLOOKUP('Raw Data'!A235,$M$2:$M$11,$N$2:$N$11,,1)</f>
        <v>28 - 33</v>
      </c>
      <c r="B235" t="str">
        <f>_xlfn.XLOOKUP('Raw Data'!B235,$Q$2:$Q$9,$R$2:$R$9,,1)</f>
        <v>10 - 15</v>
      </c>
      <c r="C235">
        <v>0</v>
      </c>
      <c r="D235" t="str">
        <f>_xlfn.XLOOKUP('Raw Data'!D235,$V$2:$V$5,$W$2:$W$5,,1)</f>
        <v>11 - 15</v>
      </c>
      <c r="E235">
        <v>1999</v>
      </c>
      <c r="F235" t="str">
        <f>_xlfn.XLOOKUP('Raw Data'!F235,$Q$2:$Q$9,$R$2:$R$9,,1)</f>
        <v>25 - 30</v>
      </c>
      <c r="G235">
        <v>492.15</v>
      </c>
    </row>
    <row r="236" spans="1:7" x14ac:dyDescent="0.25">
      <c r="A236" t="str">
        <f>_xlfn.XLOOKUP('Raw Data'!A236,$M$2:$M$11,$N$2:$N$11,,1)</f>
        <v>48 - 53</v>
      </c>
      <c r="B236" t="str">
        <f>_xlfn.XLOOKUP('Raw Data'!B236,$Q$2:$Q$9,$R$2:$R$9,,1)</f>
        <v>0 - 5</v>
      </c>
      <c r="C236">
        <v>2</v>
      </c>
      <c r="D236" t="str">
        <f>_xlfn.XLOOKUP('Raw Data'!D236,$V$2:$V$5,$W$2:$W$5,,1)</f>
        <v>11 - 15</v>
      </c>
      <c r="E236">
        <v>2000</v>
      </c>
      <c r="F236" t="str">
        <f>_xlfn.XLOOKUP('Raw Data'!F236,$Q$2:$Q$9,$R$2:$R$9,,1)</f>
        <v>20 - 25</v>
      </c>
      <c r="G236">
        <v>495.45</v>
      </c>
    </row>
    <row r="237" spans="1:7" x14ac:dyDescent="0.25">
      <c r="A237" t="str">
        <f>_xlfn.XLOOKUP('Raw Data'!A237,$M$2:$M$11,$N$2:$N$11,,1)</f>
        <v>23 - 28</v>
      </c>
      <c r="B237" t="str">
        <f>_xlfn.XLOOKUP('Raw Data'!B237,$Q$2:$Q$9,$R$2:$R$9,,1)</f>
        <v>5 - 10</v>
      </c>
      <c r="C237">
        <v>1</v>
      </c>
      <c r="D237" t="str">
        <f>_xlfn.XLOOKUP('Raw Data'!D237,$V$2:$V$5,$W$2:$W$5,,1)</f>
        <v>11 - 15</v>
      </c>
      <c r="E237">
        <v>1994</v>
      </c>
      <c r="F237" t="str">
        <f>_xlfn.XLOOKUP('Raw Data'!F237,$Q$2:$Q$9,$R$2:$R$9,,1)</f>
        <v>30 - 35</v>
      </c>
      <c r="G237">
        <v>497.6</v>
      </c>
    </row>
    <row r="238" spans="1:7" x14ac:dyDescent="0.25">
      <c r="A238" t="str">
        <f>_xlfn.XLOOKUP('Raw Data'!A238,$M$2:$M$11,$N$2:$N$11,,1)</f>
        <v>18 - 23</v>
      </c>
      <c r="B238" t="str">
        <f>_xlfn.XLOOKUP('Raw Data'!B238,$Q$2:$Q$9,$R$2:$R$9,,1)</f>
        <v>0 - 5</v>
      </c>
      <c r="C238">
        <v>5</v>
      </c>
      <c r="D238" t="str">
        <f>_xlfn.XLOOKUP('Raw Data'!D238,$V$2:$V$5,$W$2:$W$5,,1)</f>
        <v>15 - 19</v>
      </c>
      <c r="E238">
        <v>1990</v>
      </c>
      <c r="F238" t="str">
        <f>_xlfn.XLOOKUP('Raw Data'!F238,$Q$2:$Q$9,$R$2:$R$9,,1)</f>
        <v>30 - 35</v>
      </c>
      <c r="G238">
        <v>505.8</v>
      </c>
    </row>
    <row r="239" spans="1:7" x14ac:dyDescent="0.25">
      <c r="A239" t="str">
        <f>_xlfn.XLOOKUP('Raw Data'!A239,$M$2:$M$11,$N$2:$N$11,,1)</f>
        <v>28 - 33</v>
      </c>
      <c r="B239" t="str">
        <f>_xlfn.XLOOKUP('Raw Data'!B239,$Q$2:$Q$9,$R$2:$R$9,,1)</f>
        <v>5 - 10</v>
      </c>
      <c r="C239">
        <v>3</v>
      </c>
      <c r="D239" t="str">
        <f>_xlfn.XLOOKUP('Raw Data'!D239,$V$2:$V$5,$W$2:$W$5,,1)</f>
        <v>11 - 15</v>
      </c>
      <c r="E239">
        <v>2006</v>
      </c>
      <c r="F239" t="str">
        <f>_xlfn.XLOOKUP('Raw Data'!F239,$Q$2:$Q$9,$R$2:$R$9,,1)</f>
        <v>15 - 20</v>
      </c>
      <c r="G239">
        <v>497.65</v>
      </c>
    </row>
    <row r="240" spans="1:7" x14ac:dyDescent="0.25">
      <c r="A240" t="str">
        <f>_xlfn.XLOOKUP('Raw Data'!A240,$M$2:$M$11,$N$2:$N$11,,1)</f>
        <v>43 - 48</v>
      </c>
      <c r="B240" t="str">
        <f>_xlfn.XLOOKUP('Raw Data'!B240,$Q$2:$Q$9,$R$2:$R$9,,1)</f>
        <v>15 - 20</v>
      </c>
      <c r="C240">
        <v>5</v>
      </c>
      <c r="D240" t="str">
        <f>_xlfn.XLOOKUP('Raw Data'!D240,$V$2:$V$5,$W$2:$W$5,,1)</f>
        <v>15 - 19</v>
      </c>
      <c r="E240">
        <v>2011</v>
      </c>
      <c r="F240" t="str">
        <f>_xlfn.XLOOKUP('Raw Data'!F240,$Q$2:$Q$9,$R$2:$R$9,,1)</f>
        <v>10 - 15</v>
      </c>
      <c r="G240">
        <v>495.2</v>
      </c>
    </row>
    <row r="241" spans="1:7" x14ac:dyDescent="0.25">
      <c r="A241" t="str">
        <f>_xlfn.XLOOKUP('Raw Data'!A241,$M$2:$M$11,$N$2:$N$11,,1)</f>
        <v>18 - 23</v>
      </c>
      <c r="B241" t="str">
        <f>_xlfn.XLOOKUP('Raw Data'!B241,$Q$2:$Q$9,$R$2:$R$9,,1)</f>
        <v>0 - 5</v>
      </c>
      <c r="C241">
        <v>3</v>
      </c>
      <c r="D241" t="str">
        <f>_xlfn.XLOOKUP('Raw Data'!D241,$V$2:$V$5,$W$2:$W$5,,1)</f>
        <v>19 - 23</v>
      </c>
      <c r="E241">
        <v>2023</v>
      </c>
      <c r="F241" t="str">
        <f>_xlfn.XLOOKUP('Raw Data'!F241,$Q$2:$Q$9,$R$2:$R$9,,1)</f>
        <v>0 - 5</v>
      </c>
      <c r="G241">
        <v>501.25</v>
      </c>
    </row>
    <row r="242" spans="1:7" x14ac:dyDescent="0.25">
      <c r="A242" t="str">
        <f>_xlfn.XLOOKUP('Raw Data'!A242,$M$2:$M$11,$N$2:$N$11,,1)</f>
        <v>33 - 38</v>
      </c>
      <c r="B242" t="str">
        <f>_xlfn.XLOOKUP('Raw Data'!B242,$Q$2:$Q$9,$R$2:$R$9,,1)</f>
        <v>15 - 20</v>
      </c>
      <c r="C242">
        <v>1</v>
      </c>
      <c r="D242" t="str">
        <f>_xlfn.XLOOKUP('Raw Data'!D242,$V$2:$V$5,$W$2:$W$5,,1)</f>
        <v>15 - 19</v>
      </c>
      <c r="E242">
        <v>2018</v>
      </c>
      <c r="F242" t="str">
        <f>_xlfn.XLOOKUP('Raw Data'!F242,$Q$2:$Q$9,$R$2:$R$9,,1)</f>
        <v>5 - 10</v>
      </c>
      <c r="G242">
        <v>489.95</v>
      </c>
    </row>
    <row r="243" spans="1:7" x14ac:dyDescent="0.25">
      <c r="A243" t="str">
        <f>_xlfn.XLOOKUP('Raw Data'!A243,$M$2:$M$11,$N$2:$N$11,,1)</f>
        <v>48 - 53</v>
      </c>
      <c r="B243" t="str">
        <f>_xlfn.XLOOKUP('Raw Data'!B243,$Q$2:$Q$9,$R$2:$R$9,,1)</f>
        <v>20 - 25</v>
      </c>
      <c r="C243">
        <v>3</v>
      </c>
      <c r="D243" t="str">
        <f>_xlfn.XLOOKUP('Raw Data'!D243,$V$2:$V$5,$W$2:$W$5,,1)</f>
        <v>23 - 27</v>
      </c>
      <c r="E243">
        <v>1993</v>
      </c>
      <c r="F243" t="str">
        <f>_xlfn.XLOOKUP('Raw Data'!F243,$Q$2:$Q$9,$R$2:$R$9,,1)</f>
        <v>30 - 35</v>
      </c>
      <c r="G243">
        <v>491.75</v>
      </c>
    </row>
    <row r="244" spans="1:7" x14ac:dyDescent="0.25">
      <c r="A244" t="str">
        <f>_xlfn.XLOOKUP('Raw Data'!A244,$M$2:$M$11,$N$2:$N$11,,1)</f>
        <v>33 - 38</v>
      </c>
      <c r="B244" t="str">
        <f>_xlfn.XLOOKUP('Raw Data'!B244,$Q$2:$Q$9,$R$2:$R$9,,1)</f>
        <v>15 - 20</v>
      </c>
      <c r="C244">
        <v>4</v>
      </c>
      <c r="D244" t="str">
        <f>_xlfn.XLOOKUP('Raw Data'!D244,$V$2:$V$5,$W$2:$W$5,,1)</f>
        <v>15 - 19</v>
      </c>
      <c r="E244">
        <v>1994</v>
      </c>
      <c r="F244" t="str">
        <f>_xlfn.XLOOKUP('Raw Data'!F244,$Q$2:$Q$9,$R$2:$R$9,,1)</f>
        <v>30 - 35</v>
      </c>
      <c r="G244">
        <v>497.4</v>
      </c>
    </row>
    <row r="245" spans="1:7" x14ac:dyDescent="0.25">
      <c r="A245" t="str">
        <f>_xlfn.XLOOKUP('Raw Data'!A245,$M$2:$M$11,$N$2:$N$11,,1)</f>
        <v>38 - 43</v>
      </c>
      <c r="B245" t="str">
        <f>_xlfn.XLOOKUP('Raw Data'!B245,$Q$2:$Q$9,$R$2:$R$9,,1)</f>
        <v>20 - 25</v>
      </c>
      <c r="C245">
        <v>4</v>
      </c>
      <c r="D245" t="str">
        <f>_xlfn.XLOOKUP('Raw Data'!D245,$V$2:$V$5,$W$2:$W$5,,1)</f>
        <v>19 - 23</v>
      </c>
      <c r="E245">
        <v>2000</v>
      </c>
      <c r="F245" t="str">
        <f>_xlfn.XLOOKUP('Raw Data'!F245,$Q$2:$Q$9,$R$2:$R$9,,1)</f>
        <v>20 - 25</v>
      </c>
      <c r="G245">
        <v>493.5</v>
      </c>
    </row>
    <row r="246" spans="1:7" x14ac:dyDescent="0.25">
      <c r="A246" t="str">
        <f>_xlfn.XLOOKUP('Raw Data'!A246,$M$2:$M$11,$N$2:$N$11,,1)</f>
        <v>18 - 23</v>
      </c>
      <c r="B246" t="str">
        <f>_xlfn.XLOOKUP('Raw Data'!B246,$Q$2:$Q$9,$R$2:$R$9,,1)</f>
        <v>0 - 5</v>
      </c>
      <c r="C246">
        <v>4</v>
      </c>
      <c r="D246" t="str">
        <f>_xlfn.XLOOKUP('Raw Data'!D246,$V$2:$V$5,$W$2:$W$5,,1)</f>
        <v>15 - 19</v>
      </c>
      <c r="E246">
        <v>2010</v>
      </c>
      <c r="F246" t="str">
        <f>_xlfn.XLOOKUP('Raw Data'!F246,$Q$2:$Q$9,$R$2:$R$9,,1)</f>
        <v>10 - 15</v>
      </c>
      <c r="G246">
        <v>503.7</v>
      </c>
    </row>
    <row r="247" spans="1:7" x14ac:dyDescent="0.25">
      <c r="A247" t="str">
        <f>_xlfn.XLOOKUP('Raw Data'!A247,$M$2:$M$11,$N$2:$N$11,,1)</f>
        <v>33 - 38</v>
      </c>
      <c r="B247" t="str">
        <f>_xlfn.XLOOKUP('Raw Data'!B247,$Q$2:$Q$9,$R$2:$R$9,,1)</f>
        <v>15 - 20</v>
      </c>
      <c r="C247">
        <v>0</v>
      </c>
      <c r="D247" t="str">
        <f>_xlfn.XLOOKUP('Raw Data'!D247,$V$2:$V$5,$W$2:$W$5,,1)</f>
        <v>19 - 23</v>
      </c>
      <c r="E247">
        <v>2024</v>
      </c>
      <c r="F247" t="str">
        <f>_xlfn.XLOOKUP('Raw Data'!F247,$Q$2:$Q$9,$R$2:$R$9,,1)</f>
        <v>0 - 5</v>
      </c>
      <c r="G247">
        <v>488.6</v>
      </c>
    </row>
    <row r="248" spans="1:7" x14ac:dyDescent="0.25">
      <c r="A248" t="str">
        <f>_xlfn.XLOOKUP('Raw Data'!A248,$M$2:$M$11,$N$2:$N$11,,1)</f>
        <v>33 - 38</v>
      </c>
      <c r="B248" t="str">
        <f>_xlfn.XLOOKUP('Raw Data'!B248,$Q$2:$Q$9,$R$2:$R$9,,1)</f>
        <v>5 - 10</v>
      </c>
      <c r="C248">
        <v>1</v>
      </c>
      <c r="D248" t="str">
        <f>_xlfn.XLOOKUP('Raw Data'!D248,$V$2:$V$5,$W$2:$W$5,,1)</f>
        <v>23 - 27</v>
      </c>
      <c r="E248">
        <v>2001</v>
      </c>
      <c r="F248" t="str">
        <f>_xlfn.XLOOKUP('Raw Data'!F248,$Q$2:$Q$9,$R$2:$R$9,,1)</f>
        <v>20 - 25</v>
      </c>
      <c r="G248">
        <v>495.6</v>
      </c>
    </row>
    <row r="249" spans="1:7" x14ac:dyDescent="0.25">
      <c r="A249" t="str">
        <f>_xlfn.XLOOKUP('Raw Data'!A249,$M$2:$M$11,$N$2:$N$11,,1)</f>
        <v>48 - 53</v>
      </c>
      <c r="B249" t="str">
        <f>_xlfn.XLOOKUP('Raw Data'!B249,$Q$2:$Q$9,$R$2:$R$9,,1)</f>
        <v>0 - 5</v>
      </c>
      <c r="C249">
        <v>5</v>
      </c>
      <c r="D249" t="str">
        <f>_xlfn.XLOOKUP('Raw Data'!D249,$V$2:$V$5,$W$2:$W$5,,1)</f>
        <v>23 - 27</v>
      </c>
      <c r="E249">
        <v>2015</v>
      </c>
      <c r="F249" t="str">
        <f>_xlfn.XLOOKUP('Raw Data'!F249,$Q$2:$Q$9,$R$2:$R$9,,1)</f>
        <v>5 - 10</v>
      </c>
      <c r="G249">
        <v>499.95</v>
      </c>
    </row>
    <row r="250" spans="1:7" x14ac:dyDescent="0.25">
      <c r="A250" t="str">
        <f>_xlfn.XLOOKUP('Raw Data'!A250,$M$2:$M$11,$N$2:$N$11,,1)</f>
        <v>23 - 28</v>
      </c>
      <c r="B250" t="str">
        <f>_xlfn.XLOOKUP('Raw Data'!B250,$Q$2:$Q$9,$R$2:$R$9,,1)</f>
        <v>0 - 5</v>
      </c>
      <c r="C250">
        <v>5</v>
      </c>
      <c r="D250" t="str">
        <f>_xlfn.XLOOKUP('Raw Data'!D250,$V$2:$V$5,$W$2:$W$5,,1)</f>
        <v>23 - 27</v>
      </c>
      <c r="E250">
        <v>2008</v>
      </c>
      <c r="F250" t="str">
        <f>_xlfn.XLOOKUP('Raw Data'!F250,$Q$2:$Q$9,$R$2:$R$9,,1)</f>
        <v>15 - 20</v>
      </c>
      <c r="G250">
        <v>505.05</v>
      </c>
    </row>
    <row r="251" spans="1:7" x14ac:dyDescent="0.25">
      <c r="A251" t="str">
        <f>_xlfn.XLOOKUP('Raw Data'!A251,$M$2:$M$11,$N$2:$N$11,,1)</f>
        <v>53 - 58</v>
      </c>
      <c r="B251" t="str">
        <f>_xlfn.XLOOKUP('Raw Data'!B251,$Q$2:$Q$9,$R$2:$R$9,,1)</f>
        <v>20 - 25</v>
      </c>
      <c r="C251">
        <v>0</v>
      </c>
      <c r="D251" t="str">
        <f>_xlfn.XLOOKUP('Raw Data'!D251,$V$2:$V$5,$W$2:$W$5,,1)</f>
        <v>15 - 19</v>
      </c>
      <c r="E251">
        <v>1996</v>
      </c>
      <c r="F251" t="str">
        <f>_xlfn.XLOOKUP('Raw Data'!F251,$Q$2:$Q$9,$R$2:$R$9,,1)</f>
        <v>25 - 30</v>
      </c>
      <c r="G251">
        <v>485.35</v>
      </c>
    </row>
    <row r="252" spans="1:7" x14ac:dyDescent="0.25">
      <c r="A252" t="str">
        <f>_xlfn.XLOOKUP('Raw Data'!A252,$M$2:$M$11,$N$2:$N$11,,1)</f>
        <v>48 - 53</v>
      </c>
      <c r="B252" t="str">
        <f>_xlfn.XLOOKUP('Raw Data'!B252,$Q$2:$Q$9,$R$2:$R$9,,1)</f>
        <v>20 - 25</v>
      </c>
      <c r="C252">
        <v>3</v>
      </c>
      <c r="D252" t="str">
        <f>_xlfn.XLOOKUP('Raw Data'!D252,$V$2:$V$5,$W$2:$W$5,,1)</f>
        <v>11 - 15</v>
      </c>
      <c r="E252">
        <v>1996</v>
      </c>
      <c r="F252" t="str">
        <f>_xlfn.XLOOKUP('Raw Data'!F252,$Q$2:$Q$9,$R$2:$R$9,,1)</f>
        <v>25 - 30</v>
      </c>
      <c r="G252">
        <v>491.45</v>
      </c>
    </row>
    <row r="253" spans="1:7" x14ac:dyDescent="0.25">
      <c r="A253" t="str">
        <f>_xlfn.XLOOKUP('Raw Data'!A253,$M$2:$M$11,$N$2:$N$11,,1)</f>
        <v>53 - 58</v>
      </c>
      <c r="B253" t="str">
        <f>_xlfn.XLOOKUP('Raw Data'!B253,$Q$2:$Q$9,$R$2:$R$9,,1)</f>
        <v>5 - 10</v>
      </c>
      <c r="C253">
        <v>0</v>
      </c>
      <c r="D253" t="str">
        <f>_xlfn.XLOOKUP('Raw Data'!D253,$V$2:$V$5,$W$2:$W$5,,1)</f>
        <v>19 - 23</v>
      </c>
      <c r="E253">
        <v>2015</v>
      </c>
      <c r="F253" t="str">
        <f>_xlfn.XLOOKUP('Raw Data'!F253,$Q$2:$Q$9,$R$2:$R$9,,1)</f>
        <v>5 - 10</v>
      </c>
      <c r="G253">
        <v>488.5</v>
      </c>
    </row>
    <row r="254" spans="1:7" x14ac:dyDescent="0.25">
      <c r="A254" t="str">
        <f>_xlfn.XLOOKUP('Raw Data'!A254,$M$2:$M$11,$N$2:$N$11,,1)</f>
        <v>53 - 58</v>
      </c>
      <c r="B254" t="str">
        <f>_xlfn.XLOOKUP('Raw Data'!B254,$Q$2:$Q$9,$R$2:$R$9,,1)</f>
        <v>35 - 40</v>
      </c>
      <c r="C254">
        <v>3</v>
      </c>
      <c r="D254" t="str">
        <f>_xlfn.XLOOKUP('Raw Data'!D254,$V$2:$V$5,$W$2:$W$5,,1)</f>
        <v>11 - 15</v>
      </c>
      <c r="E254">
        <v>1994</v>
      </c>
      <c r="F254" t="str">
        <f>_xlfn.XLOOKUP('Raw Data'!F254,$Q$2:$Q$9,$R$2:$R$9,,1)</f>
        <v>30 - 35</v>
      </c>
      <c r="G254">
        <v>486.3</v>
      </c>
    </row>
    <row r="255" spans="1:7" x14ac:dyDescent="0.25">
      <c r="A255" t="str">
        <f>_xlfn.XLOOKUP('Raw Data'!A255,$M$2:$M$11,$N$2:$N$11,,1)</f>
        <v>33 - 38</v>
      </c>
      <c r="B255" t="str">
        <f>_xlfn.XLOOKUP('Raw Data'!B255,$Q$2:$Q$9,$R$2:$R$9,,1)</f>
        <v>0 - 5</v>
      </c>
      <c r="C255">
        <v>3</v>
      </c>
      <c r="D255" t="str">
        <f>_xlfn.XLOOKUP('Raw Data'!D255,$V$2:$V$5,$W$2:$W$5,,1)</f>
        <v>19 - 23</v>
      </c>
      <c r="E255">
        <v>2010</v>
      </c>
      <c r="F255" t="str">
        <f>_xlfn.XLOOKUP('Raw Data'!F255,$Q$2:$Q$9,$R$2:$R$9,,1)</f>
        <v>10 - 15</v>
      </c>
      <c r="G255">
        <v>499.55</v>
      </c>
    </row>
    <row r="256" spans="1:7" x14ac:dyDescent="0.25">
      <c r="A256" t="str">
        <f>_xlfn.XLOOKUP('Raw Data'!A256,$M$2:$M$11,$N$2:$N$11,,1)</f>
        <v>53 - 58</v>
      </c>
      <c r="B256" t="str">
        <f>_xlfn.XLOOKUP('Raw Data'!B256,$Q$2:$Q$9,$R$2:$R$9,,1)</f>
        <v>30 - 35</v>
      </c>
      <c r="C256">
        <v>2</v>
      </c>
      <c r="D256" t="str">
        <f>_xlfn.XLOOKUP('Raw Data'!D256,$V$2:$V$5,$W$2:$W$5,,1)</f>
        <v>15 - 19</v>
      </c>
      <c r="E256">
        <v>2003</v>
      </c>
      <c r="F256" t="str">
        <f>_xlfn.XLOOKUP('Raw Data'!F256,$Q$2:$Q$9,$R$2:$R$9,,1)</f>
        <v>20 - 25</v>
      </c>
      <c r="G256">
        <v>485</v>
      </c>
    </row>
    <row r="257" spans="1:7" x14ac:dyDescent="0.25">
      <c r="A257" t="str">
        <f>_xlfn.XLOOKUP('Raw Data'!A257,$M$2:$M$11,$N$2:$N$11,,1)</f>
        <v>18 - 23</v>
      </c>
      <c r="B257" t="str">
        <f>_xlfn.XLOOKUP('Raw Data'!B257,$Q$2:$Q$9,$R$2:$R$9,,1)</f>
        <v>0 - 5</v>
      </c>
      <c r="C257">
        <v>5</v>
      </c>
      <c r="D257" t="str">
        <f>_xlfn.XLOOKUP('Raw Data'!D257,$V$2:$V$5,$W$2:$W$5,,1)</f>
        <v>15 - 19</v>
      </c>
      <c r="E257">
        <v>1993</v>
      </c>
      <c r="F257" t="str">
        <f>_xlfn.XLOOKUP('Raw Data'!F257,$Q$2:$Q$9,$R$2:$R$9,,1)</f>
        <v>30 - 35</v>
      </c>
      <c r="G257">
        <v>508</v>
      </c>
    </row>
    <row r="258" spans="1:7" x14ac:dyDescent="0.25">
      <c r="A258" t="str">
        <f>_xlfn.XLOOKUP('Raw Data'!A258,$M$2:$M$11,$N$2:$N$11,,1)</f>
        <v>23 - 28</v>
      </c>
      <c r="B258" t="str">
        <f>_xlfn.XLOOKUP('Raw Data'!B258,$Q$2:$Q$9,$R$2:$R$9,,1)</f>
        <v>5 - 10</v>
      </c>
      <c r="C258">
        <v>4</v>
      </c>
      <c r="D258" t="str">
        <f>_xlfn.XLOOKUP('Raw Data'!D258,$V$2:$V$5,$W$2:$W$5,,1)</f>
        <v>11 - 15</v>
      </c>
      <c r="E258">
        <v>2012</v>
      </c>
      <c r="F258" t="str">
        <f>_xlfn.XLOOKUP('Raw Data'!F258,$Q$2:$Q$9,$R$2:$R$9,,1)</f>
        <v>10 - 15</v>
      </c>
      <c r="G258">
        <v>500.35</v>
      </c>
    </row>
    <row r="259" spans="1:7" x14ac:dyDescent="0.25">
      <c r="A259" t="str">
        <f>_xlfn.XLOOKUP('Raw Data'!A259,$M$2:$M$11,$N$2:$N$11,,1)</f>
        <v>43 - 48</v>
      </c>
      <c r="B259" t="str">
        <f>_xlfn.XLOOKUP('Raw Data'!B259,$Q$2:$Q$9,$R$2:$R$9,,1)</f>
        <v>25 - 30</v>
      </c>
      <c r="C259">
        <v>3</v>
      </c>
      <c r="D259" t="str">
        <f>_xlfn.XLOOKUP('Raw Data'!D259,$V$2:$V$5,$W$2:$W$5,,1)</f>
        <v>11 - 15</v>
      </c>
      <c r="E259">
        <v>2009</v>
      </c>
      <c r="F259" t="str">
        <f>_xlfn.XLOOKUP('Raw Data'!F259,$Q$2:$Q$9,$R$2:$R$9,,1)</f>
        <v>15 - 20</v>
      </c>
      <c r="G259">
        <v>489.65</v>
      </c>
    </row>
    <row r="260" spans="1:7" x14ac:dyDescent="0.25">
      <c r="A260" t="str">
        <f>_xlfn.XLOOKUP('Raw Data'!A260,$M$2:$M$11,$N$2:$N$11,,1)</f>
        <v>38 - 43</v>
      </c>
      <c r="B260" t="str">
        <f>_xlfn.XLOOKUP('Raw Data'!B260,$Q$2:$Q$9,$R$2:$R$9,,1)</f>
        <v>20 - 25</v>
      </c>
      <c r="C260">
        <v>2</v>
      </c>
      <c r="D260" t="str">
        <f>_xlfn.XLOOKUP('Raw Data'!D260,$V$2:$V$5,$W$2:$W$5,,1)</f>
        <v>15 - 19</v>
      </c>
      <c r="E260">
        <v>2004</v>
      </c>
      <c r="F260" t="str">
        <f>_xlfn.XLOOKUP('Raw Data'!F260,$Q$2:$Q$9,$R$2:$R$9,,1)</f>
        <v>20 - 25</v>
      </c>
      <c r="G260">
        <v>490.3</v>
      </c>
    </row>
    <row r="261" spans="1:7" x14ac:dyDescent="0.25">
      <c r="A261" t="str">
        <f>_xlfn.XLOOKUP('Raw Data'!A261,$M$2:$M$11,$N$2:$N$11,,1)</f>
        <v>38 - 43</v>
      </c>
      <c r="B261" t="str">
        <f>_xlfn.XLOOKUP('Raw Data'!B261,$Q$2:$Q$9,$R$2:$R$9,,1)</f>
        <v>20 - 25</v>
      </c>
      <c r="C261">
        <v>5</v>
      </c>
      <c r="D261" t="str">
        <f>_xlfn.XLOOKUP('Raw Data'!D261,$V$2:$V$5,$W$2:$W$5,,1)</f>
        <v>11 - 15</v>
      </c>
      <c r="E261">
        <v>2018</v>
      </c>
      <c r="F261" t="str">
        <f>_xlfn.XLOOKUP('Raw Data'!F261,$Q$2:$Q$9,$R$2:$R$9,,1)</f>
        <v>5 - 10</v>
      </c>
      <c r="G261">
        <v>494.3</v>
      </c>
    </row>
    <row r="262" spans="1:7" x14ac:dyDescent="0.25">
      <c r="A262" t="str">
        <f>_xlfn.XLOOKUP('Raw Data'!A262,$M$2:$M$11,$N$2:$N$11,,1)</f>
        <v>43 - 48</v>
      </c>
      <c r="B262" t="str">
        <f>_xlfn.XLOOKUP('Raw Data'!B262,$Q$2:$Q$9,$R$2:$R$9,,1)</f>
        <v>20 - 25</v>
      </c>
      <c r="C262">
        <v>4</v>
      </c>
      <c r="D262" t="str">
        <f>_xlfn.XLOOKUP('Raw Data'!D262,$V$2:$V$5,$W$2:$W$5,,1)</f>
        <v>15 - 19</v>
      </c>
      <c r="E262">
        <v>1997</v>
      </c>
      <c r="F262" t="str">
        <f>_xlfn.XLOOKUP('Raw Data'!F262,$Q$2:$Q$9,$R$2:$R$9,,1)</f>
        <v>25 - 30</v>
      </c>
      <c r="G262">
        <v>493.25</v>
      </c>
    </row>
    <row r="263" spans="1:7" x14ac:dyDescent="0.25">
      <c r="A263" t="str">
        <f>_xlfn.XLOOKUP('Raw Data'!A263,$M$2:$M$11,$N$2:$N$11,,1)</f>
        <v>43 - 48</v>
      </c>
      <c r="B263" t="str">
        <f>_xlfn.XLOOKUP('Raw Data'!B263,$Q$2:$Q$9,$R$2:$R$9,,1)</f>
        <v>10 - 15</v>
      </c>
      <c r="C263">
        <v>3</v>
      </c>
      <c r="D263" t="str">
        <f>_xlfn.XLOOKUP('Raw Data'!D263,$V$2:$V$5,$W$2:$W$5,,1)</f>
        <v>19 - 23</v>
      </c>
      <c r="E263">
        <v>2008</v>
      </c>
      <c r="F263" t="str">
        <f>_xlfn.XLOOKUP('Raw Data'!F263,$Q$2:$Q$9,$R$2:$R$9,,1)</f>
        <v>15 - 20</v>
      </c>
      <c r="G263">
        <v>494.05</v>
      </c>
    </row>
    <row r="264" spans="1:7" x14ac:dyDescent="0.25">
      <c r="A264" t="str">
        <f>_xlfn.XLOOKUP('Raw Data'!A264,$M$2:$M$11,$N$2:$N$11,,1)</f>
        <v>58 - 63</v>
      </c>
      <c r="B264" t="str">
        <f>_xlfn.XLOOKUP('Raw Data'!B264,$Q$2:$Q$9,$R$2:$R$9,,1)</f>
        <v>30 - 35</v>
      </c>
      <c r="C264">
        <v>3</v>
      </c>
      <c r="D264" t="str">
        <f>_xlfn.XLOOKUP('Raw Data'!D264,$V$2:$V$5,$W$2:$W$5,,1)</f>
        <v>11 - 15</v>
      </c>
      <c r="E264">
        <v>2017</v>
      </c>
      <c r="F264" t="str">
        <f>_xlfn.XLOOKUP('Raw Data'!F264,$Q$2:$Q$9,$R$2:$R$9,,1)</f>
        <v>5 - 10</v>
      </c>
      <c r="G264">
        <v>484.85</v>
      </c>
    </row>
    <row r="265" spans="1:7" x14ac:dyDescent="0.25">
      <c r="A265" t="str">
        <f>_xlfn.XLOOKUP('Raw Data'!A265,$M$2:$M$11,$N$2:$N$11,,1)</f>
        <v>48 - 53</v>
      </c>
      <c r="B265" t="str">
        <f>_xlfn.XLOOKUP('Raw Data'!B265,$Q$2:$Q$9,$R$2:$R$9,,1)</f>
        <v>10 - 15</v>
      </c>
      <c r="C265">
        <v>0</v>
      </c>
      <c r="D265" t="str">
        <f>_xlfn.XLOOKUP('Raw Data'!D265,$V$2:$V$5,$W$2:$W$5,,1)</f>
        <v>11 - 15</v>
      </c>
      <c r="E265">
        <v>2016</v>
      </c>
      <c r="F265" t="str">
        <f>_xlfn.XLOOKUP('Raw Data'!F265,$Q$2:$Q$9,$R$2:$R$9,,1)</f>
        <v>5 - 10</v>
      </c>
      <c r="G265">
        <v>486.7</v>
      </c>
    </row>
    <row r="266" spans="1:7" x14ac:dyDescent="0.25">
      <c r="A266" t="str">
        <f>_xlfn.XLOOKUP('Raw Data'!A266,$M$2:$M$11,$N$2:$N$11,,1)</f>
        <v>23 - 28</v>
      </c>
      <c r="B266" t="str">
        <f>_xlfn.XLOOKUP('Raw Data'!B266,$Q$2:$Q$9,$R$2:$R$9,,1)</f>
        <v>0 - 5</v>
      </c>
      <c r="C266">
        <v>0</v>
      </c>
      <c r="D266" t="str">
        <f>_xlfn.XLOOKUP('Raw Data'!D266,$V$2:$V$5,$W$2:$W$5,,1)</f>
        <v>15 - 19</v>
      </c>
      <c r="E266">
        <v>1993</v>
      </c>
      <c r="F266" t="str">
        <f>_xlfn.XLOOKUP('Raw Data'!F266,$Q$2:$Q$9,$R$2:$R$9,,1)</f>
        <v>30 - 35</v>
      </c>
      <c r="G266">
        <v>498.35</v>
      </c>
    </row>
    <row r="267" spans="1:7" x14ac:dyDescent="0.25">
      <c r="A267" t="str">
        <f>_xlfn.XLOOKUP('Raw Data'!A267,$M$2:$M$11,$N$2:$N$11,,1)</f>
        <v>28 - 33</v>
      </c>
      <c r="B267" t="str">
        <f>_xlfn.XLOOKUP('Raw Data'!B267,$Q$2:$Q$9,$R$2:$R$9,,1)</f>
        <v>10 - 15</v>
      </c>
      <c r="C267">
        <v>5</v>
      </c>
      <c r="D267" t="str">
        <f>_xlfn.XLOOKUP('Raw Data'!D267,$V$2:$V$5,$W$2:$W$5,,1)</f>
        <v>15 - 19</v>
      </c>
      <c r="E267">
        <v>2004</v>
      </c>
      <c r="F267" t="str">
        <f>_xlfn.XLOOKUP('Raw Data'!F267,$Q$2:$Q$9,$R$2:$R$9,,1)</f>
        <v>20 - 25</v>
      </c>
      <c r="G267">
        <v>499.35</v>
      </c>
    </row>
    <row r="268" spans="1:7" x14ac:dyDescent="0.25">
      <c r="A268" t="str">
        <f>_xlfn.XLOOKUP('Raw Data'!A268,$M$2:$M$11,$N$2:$N$11,,1)</f>
        <v>38 - 43</v>
      </c>
      <c r="B268" t="str">
        <f>_xlfn.XLOOKUP('Raw Data'!B268,$Q$2:$Q$9,$R$2:$R$9,,1)</f>
        <v>15 - 20</v>
      </c>
      <c r="C268">
        <v>4</v>
      </c>
      <c r="D268" t="str">
        <f>_xlfn.XLOOKUP('Raw Data'!D268,$V$2:$V$5,$W$2:$W$5,,1)</f>
        <v>19 - 23</v>
      </c>
      <c r="E268">
        <v>2024</v>
      </c>
      <c r="F268" t="str">
        <f>_xlfn.XLOOKUP('Raw Data'!F268,$Q$2:$Q$9,$R$2:$R$9,,1)</f>
        <v>0 - 5</v>
      </c>
      <c r="G268">
        <v>492.6</v>
      </c>
    </row>
    <row r="269" spans="1:7" x14ac:dyDescent="0.25">
      <c r="A269" t="str">
        <f>_xlfn.XLOOKUP('Raw Data'!A269,$M$2:$M$11,$N$2:$N$11,,1)</f>
        <v>63 - 68</v>
      </c>
      <c r="B269" t="str">
        <f>_xlfn.XLOOKUP('Raw Data'!B269,$Q$2:$Q$9,$R$2:$R$9,,1)</f>
        <v>10 - 15</v>
      </c>
      <c r="C269">
        <v>3</v>
      </c>
      <c r="D269" t="str">
        <f>_xlfn.XLOOKUP('Raw Data'!D269,$V$2:$V$5,$W$2:$W$5,,1)</f>
        <v>19 - 23</v>
      </c>
      <c r="E269">
        <v>1990</v>
      </c>
      <c r="F269" t="str">
        <f>_xlfn.XLOOKUP('Raw Data'!F269,$Q$2:$Q$9,$R$2:$R$9,,1)</f>
        <v>30 - 35</v>
      </c>
      <c r="G269">
        <v>492.2</v>
      </c>
    </row>
    <row r="270" spans="1:7" x14ac:dyDescent="0.25">
      <c r="A270" t="str">
        <f>_xlfn.XLOOKUP('Raw Data'!A270,$M$2:$M$11,$N$2:$N$11,,1)</f>
        <v>18 - 23</v>
      </c>
      <c r="B270" t="str">
        <f>_xlfn.XLOOKUP('Raw Data'!B270,$Q$2:$Q$9,$R$2:$R$9,,1)</f>
        <v>0 - 5</v>
      </c>
      <c r="C270">
        <v>5</v>
      </c>
      <c r="D270" t="str">
        <f>_xlfn.XLOOKUP('Raw Data'!D270,$V$2:$V$5,$W$2:$W$5,,1)</f>
        <v>11 - 15</v>
      </c>
      <c r="E270">
        <v>1992</v>
      </c>
      <c r="F270" t="str">
        <f>_xlfn.XLOOKUP('Raw Data'!F270,$Q$2:$Q$9,$R$2:$R$9,,1)</f>
        <v>30 - 35</v>
      </c>
      <c r="G270">
        <v>507.4</v>
      </c>
    </row>
    <row r="271" spans="1:7" x14ac:dyDescent="0.25">
      <c r="A271" t="str">
        <f>_xlfn.XLOOKUP('Raw Data'!A271,$M$2:$M$11,$N$2:$N$11,,1)</f>
        <v>18 - 23</v>
      </c>
      <c r="B271" t="str">
        <f>_xlfn.XLOOKUP('Raw Data'!B271,$Q$2:$Q$9,$R$2:$R$9,,1)</f>
        <v>0 - 5</v>
      </c>
      <c r="C271">
        <v>5</v>
      </c>
      <c r="D271" t="str">
        <f>_xlfn.XLOOKUP('Raw Data'!D271,$V$2:$V$5,$W$2:$W$5,,1)</f>
        <v>15 - 19</v>
      </c>
      <c r="E271">
        <v>2013</v>
      </c>
      <c r="F271" t="str">
        <f>_xlfn.XLOOKUP('Raw Data'!F271,$Q$2:$Q$9,$R$2:$R$9,,1)</f>
        <v>10 - 15</v>
      </c>
      <c r="G271">
        <v>505.9</v>
      </c>
    </row>
    <row r="272" spans="1:7" x14ac:dyDescent="0.25">
      <c r="A272" t="str">
        <f>_xlfn.XLOOKUP('Raw Data'!A272,$M$2:$M$11,$N$2:$N$11,,1)</f>
        <v>63 - 68</v>
      </c>
      <c r="B272" t="str">
        <f>_xlfn.XLOOKUP('Raw Data'!B272,$Q$2:$Q$9,$R$2:$R$9,,1)</f>
        <v>5 - 10</v>
      </c>
      <c r="C272">
        <v>1</v>
      </c>
      <c r="D272" t="str">
        <f>_xlfn.XLOOKUP('Raw Data'!D272,$V$2:$V$5,$W$2:$W$5,,1)</f>
        <v>19 - 23</v>
      </c>
      <c r="E272">
        <v>2016</v>
      </c>
      <c r="F272" t="str">
        <f>_xlfn.XLOOKUP('Raw Data'!F272,$Q$2:$Q$9,$R$2:$R$9,,1)</f>
        <v>5 - 10</v>
      </c>
      <c r="G272">
        <v>488.7</v>
      </c>
    </row>
    <row r="273" spans="1:7" x14ac:dyDescent="0.25">
      <c r="A273" t="str">
        <f>_xlfn.XLOOKUP('Raw Data'!A273,$M$2:$M$11,$N$2:$N$11,,1)</f>
        <v>28 - 33</v>
      </c>
      <c r="B273" t="str">
        <f>_xlfn.XLOOKUP('Raw Data'!B273,$Q$2:$Q$9,$R$2:$R$9,,1)</f>
        <v>5 - 10</v>
      </c>
      <c r="C273">
        <v>0</v>
      </c>
      <c r="D273" t="str">
        <f>_xlfn.XLOOKUP('Raw Data'!D273,$V$2:$V$5,$W$2:$W$5,,1)</f>
        <v>19 - 23</v>
      </c>
      <c r="E273">
        <v>2025</v>
      </c>
      <c r="F273" t="str">
        <f>_xlfn.XLOOKUP('Raw Data'!F273,$Q$2:$Q$9,$R$2:$R$9,,1)</f>
        <v>0 - 5</v>
      </c>
      <c r="G273">
        <v>492.65</v>
      </c>
    </row>
    <row r="274" spans="1:7" x14ac:dyDescent="0.25">
      <c r="A274" t="str">
        <f>_xlfn.XLOOKUP('Raw Data'!A274,$M$2:$M$11,$N$2:$N$11,,1)</f>
        <v>18 - 23</v>
      </c>
      <c r="B274" t="str">
        <f>_xlfn.XLOOKUP('Raw Data'!B274,$Q$2:$Q$9,$R$2:$R$9,,1)</f>
        <v>0 - 5</v>
      </c>
      <c r="C274">
        <v>4</v>
      </c>
      <c r="D274" t="str">
        <f>_xlfn.XLOOKUP('Raw Data'!D274,$V$2:$V$5,$W$2:$W$5,,1)</f>
        <v>11 - 15</v>
      </c>
      <c r="E274">
        <v>2023</v>
      </c>
      <c r="F274" t="str">
        <f>_xlfn.XLOOKUP('Raw Data'!F274,$Q$2:$Q$9,$R$2:$R$9,,1)</f>
        <v>0 - 5</v>
      </c>
      <c r="G274">
        <v>501.25</v>
      </c>
    </row>
    <row r="275" spans="1:7" x14ac:dyDescent="0.25">
      <c r="A275" t="str">
        <f>_xlfn.XLOOKUP('Raw Data'!A275,$M$2:$M$11,$N$2:$N$11,,1)</f>
        <v>53 - 58</v>
      </c>
      <c r="B275" t="str">
        <f>_xlfn.XLOOKUP('Raw Data'!B275,$Q$2:$Q$9,$R$2:$R$9,,1)</f>
        <v>30 - 35</v>
      </c>
      <c r="C275">
        <v>3</v>
      </c>
      <c r="D275" t="str">
        <f>_xlfn.XLOOKUP('Raw Data'!D275,$V$2:$V$5,$W$2:$W$5,,1)</f>
        <v>15 - 19</v>
      </c>
      <c r="E275">
        <v>2018</v>
      </c>
      <c r="F275" t="str">
        <f>_xlfn.XLOOKUP('Raw Data'!F275,$Q$2:$Q$9,$R$2:$R$9,,1)</f>
        <v>5 - 10</v>
      </c>
      <c r="G275">
        <v>485.6</v>
      </c>
    </row>
    <row r="276" spans="1:7" x14ac:dyDescent="0.25">
      <c r="A276" t="str">
        <f>_xlfn.XLOOKUP('Raw Data'!A276,$M$2:$M$11,$N$2:$N$11,,1)</f>
        <v>48 - 53</v>
      </c>
      <c r="B276" t="str">
        <f>_xlfn.XLOOKUP('Raw Data'!B276,$Q$2:$Q$9,$R$2:$R$9,,1)</f>
        <v>20 - 25</v>
      </c>
      <c r="C276">
        <v>5</v>
      </c>
      <c r="D276" t="str">
        <f>_xlfn.XLOOKUP('Raw Data'!D276,$V$2:$V$5,$W$2:$W$5,,1)</f>
        <v>19 - 23</v>
      </c>
      <c r="E276">
        <v>2013</v>
      </c>
      <c r="F276" t="str">
        <f>_xlfn.XLOOKUP('Raw Data'!F276,$Q$2:$Q$9,$R$2:$R$9,,1)</f>
        <v>10 - 15</v>
      </c>
      <c r="G276">
        <v>493.4</v>
      </c>
    </row>
    <row r="277" spans="1:7" x14ac:dyDescent="0.25">
      <c r="A277" t="str">
        <f>_xlfn.XLOOKUP('Raw Data'!A277,$M$2:$M$11,$N$2:$N$11,,1)</f>
        <v>23 - 28</v>
      </c>
      <c r="B277" t="str">
        <f>_xlfn.XLOOKUP('Raw Data'!B277,$Q$2:$Q$9,$R$2:$R$9,,1)</f>
        <v>5 - 10</v>
      </c>
      <c r="C277">
        <v>3</v>
      </c>
      <c r="D277" t="str">
        <f>_xlfn.XLOOKUP('Raw Data'!D277,$V$2:$V$5,$W$2:$W$5,,1)</f>
        <v>11 - 15</v>
      </c>
      <c r="E277">
        <v>2013</v>
      </c>
      <c r="F277" t="str">
        <f>_xlfn.XLOOKUP('Raw Data'!F277,$Q$2:$Q$9,$R$2:$R$9,,1)</f>
        <v>10 - 15</v>
      </c>
      <c r="G277">
        <v>498.7</v>
      </c>
    </row>
    <row r="278" spans="1:7" x14ac:dyDescent="0.25">
      <c r="A278" t="str">
        <f>_xlfn.XLOOKUP('Raw Data'!A278,$M$2:$M$11,$N$2:$N$11,,1)</f>
        <v>53 - 58</v>
      </c>
      <c r="B278" t="str">
        <f>_xlfn.XLOOKUP('Raw Data'!B278,$Q$2:$Q$9,$R$2:$R$9,,1)</f>
        <v>15 - 20</v>
      </c>
      <c r="C278">
        <v>1</v>
      </c>
      <c r="D278" t="str">
        <f>_xlfn.XLOOKUP('Raw Data'!D278,$V$2:$V$5,$W$2:$W$5,,1)</f>
        <v>15 - 19</v>
      </c>
      <c r="E278">
        <v>1993</v>
      </c>
      <c r="F278" t="str">
        <f>_xlfn.XLOOKUP('Raw Data'!F278,$Q$2:$Q$9,$R$2:$R$9,,1)</f>
        <v>30 - 35</v>
      </c>
      <c r="G278">
        <v>488.6</v>
      </c>
    </row>
    <row r="279" spans="1:7" x14ac:dyDescent="0.25">
      <c r="A279" t="str">
        <f>_xlfn.XLOOKUP('Raw Data'!A279,$M$2:$M$11,$N$2:$N$11,,1)</f>
        <v>48 - 53</v>
      </c>
      <c r="B279" t="str">
        <f>_xlfn.XLOOKUP('Raw Data'!B279,$Q$2:$Q$9,$R$2:$R$9,,1)</f>
        <v>15 - 20</v>
      </c>
      <c r="C279">
        <v>4</v>
      </c>
      <c r="D279" t="str">
        <f>_xlfn.XLOOKUP('Raw Data'!D279,$V$2:$V$5,$W$2:$W$5,,1)</f>
        <v>11 - 15</v>
      </c>
      <c r="E279">
        <v>1992</v>
      </c>
      <c r="F279" t="str">
        <f>_xlfn.XLOOKUP('Raw Data'!F279,$Q$2:$Q$9,$R$2:$R$9,,1)</f>
        <v>30 - 35</v>
      </c>
      <c r="G279">
        <v>494.1</v>
      </c>
    </row>
    <row r="280" spans="1:7" x14ac:dyDescent="0.25">
      <c r="A280" t="str">
        <f>_xlfn.XLOOKUP('Raw Data'!A280,$M$2:$M$11,$N$2:$N$11,,1)</f>
        <v>33 - 38</v>
      </c>
      <c r="B280" t="str">
        <f>_xlfn.XLOOKUP('Raw Data'!B280,$Q$2:$Q$9,$R$2:$R$9,,1)</f>
        <v>15 - 20</v>
      </c>
      <c r="C280">
        <v>5</v>
      </c>
      <c r="D280" t="str">
        <f>_xlfn.XLOOKUP('Raw Data'!D280,$V$2:$V$5,$W$2:$W$5,,1)</f>
        <v>19 - 23</v>
      </c>
      <c r="E280">
        <v>2023</v>
      </c>
      <c r="F280" t="str">
        <f>_xlfn.XLOOKUP('Raw Data'!F280,$Q$2:$Q$9,$R$2:$R$9,,1)</f>
        <v>0 - 5</v>
      </c>
      <c r="G280">
        <v>496.15</v>
      </c>
    </row>
    <row r="281" spans="1:7" x14ac:dyDescent="0.25">
      <c r="A281" t="str">
        <f>_xlfn.XLOOKUP('Raw Data'!A281,$M$2:$M$11,$N$2:$N$11,,1)</f>
        <v>63 - 68</v>
      </c>
      <c r="B281" t="str">
        <f>_xlfn.XLOOKUP('Raw Data'!B281,$Q$2:$Q$9,$R$2:$R$9,,1)</f>
        <v>25 - 30</v>
      </c>
      <c r="C281">
        <v>3</v>
      </c>
      <c r="D281" t="str">
        <f>_xlfn.XLOOKUP('Raw Data'!D281,$V$2:$V$5,$W$2:$W$5,,1)</f>
        <v>15 - 19</v>
      </c>
      <c r="E281">
        <v>2012</v>
      </c>
      <c r="F281" t="str">
        <f>_xlfn.XLOOKUP('Raw Data'!F281,$Q$2:$Q$9,$R$2:$R$9,,1)</f>
        <v>10 - 15</v>
      </c>
      <c r="G281">
        <v>485.25</v>
      </c>
    </row>
    <row r="282" spans="1:7" x14ac:dyDescent="0.25">
      <c r="A282" t="str">
        <f>_xlfn.XLOOKUP('Raw Data'!A282,$M$2:$M$11,$N$2:$N$11,,1)</f>
        <v>28 - 33</v>
      </c>
      <c r="B282" t="str">
        <f>_xlfn.XLOOKUP('Raw Data'!B282,$Q$2:$Q$9,$R$2:$R$9,,1)</f>
        <v>10 - 15</v>
      </c>
      <c r="C282">
        <v>0</v>
      </c>
      <c r="D282" t="str">
        <f>_xlfn.XLOOKUP('Raw Data'!D282,$V$2:$V$5,$W$2:$W$5,,1)</f>
        <v>15 - 19</v>
      </c>
      <c r="E282">
        <v>2012</v>
      </c>
      <c r="F282" t="str">
        <f>_xlfn.XLOOKUP('Raw Data'!F282,$Q$2:$Q$9,$R$2:$R$9,,1)</f>
        <v>10 - 15</v>
      </c>
      <c r="G282">
        <v>491.15</v>
      </c>
    </row>
    <row r="283" spans="1:7" x14ac:dyDescent="0.25">
      <c r="A283" t="str">
        <f>_xlfn.XLOOKUP('Raw Data'!A283,$M$2:$M$11,$N$2:$N$11,,1)</f>
        <v>18 - 23</v>
      </c>
      <c r="B283" t="str">
        <f>_xlfn.XLOOKUP('Raw Data'!B283,$Q$2:$Q$9,$R$2:$R$9,,1)</f>
        <v>0 - 5</v>
      </c>
      <c r="C283">
        <v>1</v>
      </c>
      <c r="D283" t="str">
        <f>_xlfn.XLOOKUP('Raw Data'!D283,$V$2:$V$5,$W$2:$W$5,,1)</f>
        <v>11 - 15</v>
      </c>
      <c r="E283">
        <v>1994</v>
      </c>
      <c r="F283" t="str">
        <f>_xlfn.XLOOKUP('Raw Data'!F283,$Q$2:$Q$9,$R$2:$R$9,,1)</f>
        <v>30 - 35</v>
      </c>
      <c r="G283">
        <v>500.85</v>
      </c>
    </row>
    <row r="284" spans="1:7" x14ac:dyDescent="0.25">
      <c r="A284" t="str">
        <f>_xlfn.XLOOKUP('Raw Data'!A284,$M$2:$M$11,$N$2:$N$11,,1)</f>
        <v>33 - 38</v>
      </c>
      <c r="B284" t="str">
        <f>_xlfn.XLOOKUP('Raw Data'!B284,$Q$2:$Q$9,$R$2:$R$9,,1)</f>
        <v>0 - 5</v>
      </c>
      <c r="C284">
        <v>4</v>
      </c>
      <c r="D284" t="str">
        <f>_xlfn.XLOOKUP('Raw Data'!D284,$V$2:$V$5,$W$2:$W$5,,1)</f>
        <v>15 - 19</v>
      </c>
      <c r="E284">
        <v>2020</v>
      </c>
      <c r="F284" t="str">
        <f>_xlfn.XLOOKUP('Raw Data'!F284,$Q$2:$Q$9,$R$2:$R$9,,1)</f>
        <v>0 - 5</v>
      </c>
      <c r="G284">
        <v>500</v>
      </c>
    </row>
    <row r="285" spans="1:7" x14ac:dyDescent="0.25">
      <c r="A285" t="str">
        <f>_xlfn.XLOOKUP('Raw Data'!A285,$M$2:$M$11,$N$2:$N$11,,1)</f>
        <v>38 - 43</v>
      </c>
      <c r="B285" t="str">
        <f>_xlfn.XLOOKUP('Raw Data'!B285,$Q$2:$Q$9,$R$2:$R$9,,1)</f>
        <v>0 - 5</v>
      </c>
      <c r="C285">
        <v>1</v>
      </c>
      <c r="D285" t="str">
        <f>_xlfn.XLOOKUP('Raw Data'!D285,$V$2:$V$5,$W$2:$W$5,,1)</f>
        <v>15 - 19</v>
      </c>
      <c r="E285">
        <v>1995</v>
      </c>
      <c r="F285" t="str">
        <f>_xlfn.XLOOKUP('Raw Data'!F285,$Q$2:$Q$9,$R$2:$R$9,,1)</f>
        <v>25 - 30</v>
      </c>
      <c r="G285">
        <v>495.95</v>
      </c>
    </row>
    <row r="286" spans="1:7" x14ac:dyDescent="0.25">
      <c r="A286" t="str">
        <f>_xlfn.XLOOKUP('Raw Data'!A286,$M$2:$M$11,$N$2:$N$11,,1)</f>
        <v>48 - 53</v>
      </c>
      <c r="B286" t="str">
        <f>_xlfn.XLOOKUP('Raw Data'!B286,$Q$2:$Q$9,$R$2:$R$9,,1)</f>
        <v>15 - 20</v>
      </c>
      <c r="C286">
        <v>0</v>
      </c>
      <c r="D286" t="str">
        <f>_xlfn.XLOOKUP('Raw Data'!D286,$V$2:$V$5,$W$2:$W$5,,1)</f>
        <v>15 - 19</v>
      </c>
      <c r="E286">
        <v>1999</v>
      </c>
      <c r="F286" t="str">
        <f>_xlfn.XLOOKUP('Raw Data'!F286,$Q$2:$Q$9,$R$2:$R$9,,1)</f>
        <v>25 - 30</v>
      </c>
      <c r="G286">
        <v>487.7</v>
      </c>
    </row>
    <row r="287" spans="1:7" x14ac:dyDescent="0.25">
      <c r="A287" t="str">
        <f>_xlfn.XLOOKUP('Raw Data'!A287,$M$2:$M$11,$N$2:$N$11,,1)</f>
        <v>38 - 43</v>
      </c>
      <c r="B287" t="str">
        <f>_xlfn.XLOOKUP('Raw Data'!B287,$Q$2:$Q$9,$R$2:$R$9,,1)</f>
        <v>5 - 10</v>
      </c>
      <c r="C287">
        <v>4</v>
      </c>
      <c r="D287" t="str">
        <f>_xlfn.XLOOKUP('Raw Data'!D287,$V$2:$V$5,$W$2:$W$5,,1)</f>
        <v>15 - 19</v>
      </c>
      <c r="E287">
        <v>1996</v>
      </c>
      <c r="F287" t="str">
        <f>_xlfn.XLOOKUP('Raw Data'!F287,$Q$2:$Q$9,$R$2:$R$9,,1)</f>
        <v>25 - 30</v>
      </c>
      <c r="G287">
        <v>498.5</v>
      </c>
    </row>
    <row r="288" spans="1:7" x14ac:dyDescent="0.25">
      <c r="A288" t="str">
        <f>_xlfn.XLOOKUP('Raw Data'!A288,$M$2:$M$11,$N$2:$N$11,,1)</f>
        <v>23 - 28</v>
      </c>
      <c r="B288" t="str">
        <f>_xlfn.XLOOKUP('Raw Data'!B288,$Q$2:$Q$9,$R$2:$R$9,,1)</f>
        <v>0 - 5</v>
      </c>
      <c r="C288">
        <v>1</v>
      </c>
      <c r="D288" t="str">
        <f>_xlfn.XLOOKUP('Raw Data'!D288,$V$2:$V$5,$W$2:$W$5,,1)</f>
        <v>15 - 19</v>
      </c>
      <c r="E288">
        <v>2010</v>
      </c>
      <c r="F288" t="str">
        <f>_xlfn.XLOOKUP('Raw Data'!F288,$Q$2:$Q$9,$R$2:$R$9,,1)</f>
        <v>10 - 15</v>
      </c>
      <c r="G288">
        <v>497.9</v>
      </c>
    </row>
    <row r="289" spans="1:7" x14ac:dyDescent="0.25">
      <c r="A289" t="str">
        <f>_xlfn.XLOOKUP('Raw Data'!A289,$M$2:$M$11,$N$2:$N$11,,1)</f>
        <v>23 - 28</v>
      </c>
      <c r="B289" t="str">
        <f>_xlfn.XLOOKUP('Raw Data'!B289,$Q$2:$Q$9,$R$2:$R$9,,1)</f>
        <v>0 - 5</v>
      </c>
      <c r="C289">
        <v>2</v>
      </c>
      <c r="D289" t="str">
        <f>_xlfn.XLOOKUP('Raw Data'!D289,$V$2:$V$5,$W$2:$W$5,,1)</f>
        <v>15 - 19</v>
      </c>
      <c r="E289">
        <v>2009</v>
      </c>
      <c r="F289" t="str">
        <f>_xlfn.XLOOKUP('Raw Data'!F289,$Q$2:$Q$9,$R$2:$R$9,,1)</f>
        <v>15 - 20</v>
      </c>
      <c r="G289">
        <v>499.95</v>
      </c>
    </row>
    <row r="290" spans="1:7" x14ac:dyDescent="0.25">
      <c r="A290" t="str">
        <f>_xlfn.XLOOKUP('Raw Data'!A290,$M$2:$M$11,$N$2:$N$11,,1)</f>
        <v>48 - 53</v>
      </c>
      <c r="B290" t="str">
        <f>_xlfn.XLOOKUP('Raw Data'!B290,$Q$2:$Q$9,$R$2:$R$9,,1)</f>
        <v>20 - 25</v>
      </c>
      <c r="C290">
        <v>0</v>
      </c>
      <c r="D290" t="str">
        <f>_xlfn.XLOOKUP('Raw Data'!D290,$V$2:$V$5,$W$2:$W$5,,1)</f>
        <v>11 - 15</v>
      </c>
      <c r="E290">
        <v>1992</v>
      </c>
      <c r="F290" t="str">
        <f>_xlfn.XLOOKUP('Raw Data'!F290,$Q$2:$Q$9,$R$2:$R$9,,1)</f>
        <v>30 - 35</v>
      </c>
      <c r="G290">
        <v>486.7</v>
      </c>
    </row>
    <row r="291" spans="1:7" x14ac:dyDescent="0.25">
      <c r="A291" t="str">
        <f>_xlfn.XLOOKUP('Raw Data'!A291,$M$2:$M$11,$N$2:$N$11,,1)</f>
        <v>53 - 58</v>
      </c>
      <c r="B291" t="str">
        <f>_xlfn.XLOOKUP('Raw Data'!B291,$Q$2:$Q$9,$R$2:$R$9,,1)</f>
        <v>10 - 15</v>
      </c>
      <c r="C291">
        <v>0</v>
      </c>
      <c r="D291" t="str">
        <f>_xlfn.XLOOKUP('Raw Data'!D291,$V$2:$V$5,$W$2:$W$5,,1)</f>
        <v>11 - 15</v>
      </c>
      <c r="E291">
        <v>2011</v>
      </c>
      <c r="F291" t="str">
        <f>_xlfn.XLOOKUP('Raw Data'!F291,$Q$2:$Q$9,$R$2:$R$9,,1)</f>
        <v>10 - 15</v>
      </c>
      <c r="G291">
        <v>487.65</v>
      </c>
    </row>
    <row r="292" spans="1:7" x14ac:dyDescent="0.25">
      <c r="A292" t="str">
        <f>_xlfn.XLOOKUP('Raw Data'!A292,$M$2:$M$11,$N$2:$N$11,,1)</f>
        <v>53 - 58</v>
      </c>
      <c r="B292" t="str">
        <f>_xlfn.XLOOKUP('Raw Data'!B292,$Q$2:$Q$9,$R$2:$R$9,,1)</f>
        <v>15 - 20</v>
      </c>
      <c r="C292">
        <v>0</v>
      </c>
      <c r="D292" t="str">
        <f>_xlfn.XLOOKUP('Raw Data'!D292,$V$2:$V$5,$W$2:$W$5,,1)</f>
        <v>19 - 23</v>
      </c>
      <c r="E292">
        <v>1993</v>
      </c>
      <c r="F292" t="str">
        <f>_xlfn.XLOOKUP('Raw Data'!F292,$Q$2:$Q$9,$R$2:$R$9,,1)</f>
        <v>30 - 35</v>
      </c>
      <c r="G292">
        <v>487.25</v>
      </c>
    </row>
    <row r="293" spans="1:7" x14ac:dyDescent="0.25">
      <c r="A293" t="str">
        <f>_xlfn.XLOOKUP('Raw Data'!A293,$M$2:$M$11,$N$2:$N$11,,1)</f>
        <v>33 - 38</v>
      </c>
      <c r="B293" t="str">
        <f>_xlfn.XLOOKUP('Raw Data'!B293,$Q$2:$Q$9,$R$2:$R$9,,1)</f>
        <v>0 - 5</v>
      </c>
      <c r="C293">
        <v>2</v>
      </c>
      <c r="D293" t="str">
        <f>_xlfn.XLOOKUP('Raw Data'!D293,$V$2:$V$5,$W$2:$W$5,,1)</f>
        <v>19 - 23</v>
      </c>
      <c r="E293">
        <v>2017</v>
      </c>
      <c r="F293" t="str">
        <f>_xlfn.XLOOKUP('Raw Data'!F293,$Q$2:$Q$9,$R$2:$R$9,,1)</f>
        <v>5 - 10</v>
      </c>
      <c r="G293">
        <v>496.3</v>
      </c>
    </row>
    <row r="294" spans="1:7" x14ac:dyDescent="0.25">
      <c r="A294" t="str">
        <f>_xlfn.XLOOKUP('Raw Data'!A294,$M$2:$M$11,$N$2:$N$11,,1)</f>
        <v>48 - 53</v>
      </c>
      <c r="B294" t="str">
        <f>_xlfn.XLOOKUP('Raw Data'!B294,$Q$2:$Q$9,$R$2:$R$9,,1)</f>
        <v>30 - 35</v>
      </c>
      <c r="C294">
        <v>2</v>
      </c>
      <c r="D294" t="str">
        <f>_xlfn.XLOOKUP('Raw Data'!D294,$V$2:$V$5,$W$2:$W$5,,1)</f>
        <v>15 - 19</v>
      </c>
      <c r="E294">
        <v>2001</v>
      </c>
      <c r="F294" t="str">
        <f>_xlfn.XLOOKUP('Raw Data'!F294,$Q$2:$Q$9,$R$2:$R$9,,1)</f>
        <v>20 - 25</v>
      </c>
      <c r="G294">
        <v>485.6</v>
      </c>
    </row>
    <row r="295" spans="1:7" x14ac:dyDescent="0.25">
      <c r="A295" t="str">
        <f>_xlfn.XLOOKUP('Raw Data'!A295,$M$2:$M$11,$N$2:$N$11,,1)</f>
        <v>63 - 68</v>
      </c>
      <c r="B295" t="str">
        <f>_xlfn.XLOOKUP('Raw Data'!B295,$Q$2:$Q$9,$R$2:$R$9,,1)</f>
        <v>35 - 40</v>
      </c>
      <c r="C295">
        <v>3</v>
      </c>
      <c r="D295" t="str">
        <f>_xlfn.XLOOKUP('Raw Data'!D295,$V$2:$V$5,$W$2:$W$5,,1)</f>
        <v>19 - 23</v>
      </c>
      <c r="E295">
        <v>2025</v>
      </c>
      <c r="F295" t="str">
        <f>_xlfn.XLOOKUP('Raw Data'!F295,$Q$2:$Q$9,$R$2:$R$9,,1)</f>
        <v>0 - 5</v>
      </c>
      <c r="G295">
        <v>481.4</v>
      </c>
    </row>
    <row r="296" spans="1:7" x14ac:dyDescent="0.25">
      <c r="A296" t="str">
        <f>_xlfn.XLOOKUP('Raw Data'!A296,$M$2:$M$11,$N$2:$N$11,,1)</f>
        <v>38 - 43</v>
      </c>
      <c r="B296" t="str">
        <f>_xlfn.XLOOKUP('Raw Data'!B296,$Q$2:$Q$9,$R$2:$R$9,,1)</f>
        <v>20 - 25</v>
      </c>
      <c r="C296">
        <v>5</v>
      </c>
      <c r="D296" t="str">
        <f>_xlfn.XLOOKUP('Raw Data'!D296,$V$2:$V$5,$W$2:$W$5,,1)</f>
        <v>19 - 23</v>
      </c>
      <c r="E296">
        <v>1994</v>
      </c>
      <c r="F296" t="str">
        <f>_xlfn.XLOOKUP('Raw Data'!F296,$Q$2:$Q$9,$R$2:$R$9,,1)</f>
        <v>30 - 35</v>
      </c>
      <c r="G296">
        <v>496.05</v>
      </c>
    </row>
    <row r="297" spans="1:7" x14ac:dyDescent="0.25">
      <c r="A297" t="str">
        <f>_xlfn.XLOOKUP('Raw Data'!A297,$M$2:$M$11,$N$2:$N$11,,1)</f>
        <v>48 - 53</v>
      </c>
      <c r="B297" t="str">
        <f>_xlfn.XLOOKUP('Raw Data'!B297,$Q$2:$Q$9,$R$2:$R$9,,1)</f>
        <v>5 - 10</v>
      </c>
      <c r="C297">
        <v>1</v>
      </c>
      <c r="D297" t="str">
        <f>_xlfn.XLOOKUP('Raw Data'!D297,$V$2:$V$5,$W$2:$W$5,,1)</f>
        <v>15 - 19</v>
      </c>
      <c r="E297">
        <v>2002</v>
      </c>
      <c r="F297" t="str">
        <f>_xlfn.XLOOKUP('Raw Data'!F297,$Q$2:$Q$9,$R$2:$R$9,,1)</f>
        <v>20 - 25</v>
      </c>
      <c r="G297">
        <v>491.9</v>
      </c>
    </row>
    <row r="298" spans="1:7" x14ac:dyDescent="0.25">
      <c r="A298" t="str">
        <f>_xlfn.XLOOKUP('Raw Data'!A298,$M$2:$M$11,$N$2:$N$11,,1)</f>
        <v>38 - 43</v>
      </c>
      <c r="B298" t="str">
        <f>_xlfn.XLOOKUP('Raw Data'!B298,$Q$2:$Q$9,$R$2:$R$9,,1)</f>
        <v>20 - 25</v>
      </c>
      <c r="C298">
        <v>3</v>
      </c>
      <c r="D298" t="str">
        <f>_xlfn.XLOOKUP('Raw Data'!D298,$V$2:$V$5,$W$2:$W$5,,1)</f>
        <v>11 - 15</v>
      </c>
      <c r="E298">
        <v>2012</v>
      </c>
      <c r="F298" t="str">
        <f>_xlfn.XLOOKUP('Raw Data'!F298,$Q$2:$Q$9,$R$2:$R$9,,1)</f>
        <v>10 - 15</v>
      </c>
      <c r="G298">
        <v>490.85</v>
      </c>
    </row>
    <row r="299" spans="1:7" x14ac:dyDescent="0.25">
      <c r="A299" t="str">
        <f>_xlfn.XLOOKUP('Raw Data'!A299,$M$2:$M$11,$N$2:$N$11,,1)</f>
        <v>43 - 48</v>
      </c>
      <c r="B299" t="str">
        <f>_xlfn.XLOOKUP('Raw Data'!B299,$Q$2:$Q$9,$R$2:$R$9,,1)</f>
        <v>25 - 30</v>
      </c>
      <c r="C299">
        <v>1</v>
      </c>
      <c r="D299" t="str">
        <f>_xlfn.XLOOKUP('Raw Data'!D299,$V$2:$V$5,$W$2:$W$5,,1)</f>
        <v>19 - 23</v>
      </c>
      <c r="E299">
        <v>2019</v>
      </c>
      <c r="F299" t="str">
        <f>_xlfn.XLOOKUP('Raw Data'!F299,$Q$2:$Q$9,$R$2:$R$9,,1)</f>
        <v>5 - 10</v>
      </c>
      <c r="G299">
        <v>485.6</v>
      </c>
    </row>
    <row r="300" spans="1:7" x14ac:dyDescent="0.25">
      <c r="A300" t="str">
        <f>_xlfn.XLOOKUP('Raw Data'!A300,$M$2:$M$11,$N$2:$N$11,,1)</f>
        <v>33 - 38</v>
      </c>
      <c r="B300" t="str">
        <f>_xlfn.XLOOKUP('Raw Data'!B300,$Q$2:$Q$9,$R$2:$R$9,,1)</f>
        <v>15 - 20</v>
      </c>
      <c r="C300">
        <v>5</v>
      </c>
      <c r="D300" t="str">
        <f>_xlfn.XLOOKUP('Raw Data'!D300,$V$2:$V$5,$W$2:$W$5,,1)</f>
        <v>19 - 23</v>
      </c>
      <c r="E300">
        <v>2014</v>
      </c>
      <c r="F300" t="str">
        <f>_xlfn.XLOOKUP('Raw Data'!F300,$Q$2:$Q$9,$R$2:$R$9,,1)</f>
        <v>10 - 15</v>
      </c>
      <c r="G300">
        <v>497.5</v>
      </c>
    </row>
    <row r="301" spans="1:7" x14ac:dyDescent="0.25">
      <c r="A301" t="str">
        <f>_xlfn.XLOOKUP('Raw Data'!A301,$M$2:$M$11,$N$2:$N$11,,1)</f>
        <v>58 - 63</v>
      </c>
      <c r="B301" t="str">
        <f>_xlfn.XLOOKUP('Raw Data'!B301,$Q$2:$Q$9,$R$2:$R$9,,1)</f>
        <v>20 - 25</v>
      </c>
      <c r="C301">
        <v>2</v>
      </c>
      <c r="D301" t="str">
        <f>_xlfn.XLOOKUP('Raw Data'!D301,$V$2:$V$5,$W$2:$W$5,,1)</f>
        <v>11 - 15</v>
      </c>
      <c r="E301">
        <v>2016</v>
      </c>
      <c r="F301" t="str">
        <f>_xlfn.XLOOKUP('Raw Data'!F301,$Q$2:$Q$9,$R$2:$R$9,,1)</f>
        <v>5 - 10</v>
      </c>
      <c r="G301">
        <v>484.95</v>
      </c>
    </row>
    <row r="302" spans="1:7" x14ac:dyDescent="0.25">
      <c r="A302" t="str">
        <f>_xlfn.XLOOKUP('Raw Data'!A302,$M$2:$M$11,$N$2:$N$11,,1)</f>
        <v>33 - 38</v>
      </c>
      <c r="B302" t="str">
        <f>_xlfn.XLOOKUP('Raw Data'!B302,$Q$2:$Q$9,$R$2:$R$9,,1)</f>
        <v>15 - 20</v>
      </c>
      <c r="C302">
        <v>5</v>
      </c>
      <c r="D302" t="str">
        <f>_xlfn.XLOOKUP('Raw Data'!D302,$V$2:$V$5,$W$2:$W$5,,1)</f>
        <v>15 - 19</v>
      </c>
      <c r="E302">
        <v>2003</v>
      </c>
      <c r="F302" t="str">
        <f>_xlfn.XLOOKUP('Raw Data'!F302,$Q$2:$Q$9,$R$2:$R$9,,1)</f>
        <v>20 - 25</v>
      </c>
      <c r="G302">
        <v>498.85</v>
      </c>
    </row>
    <row r="303" spans="1:7" x14ac:dyDescent="0.25">
      <c r="A303" t="str">
        <f>_xlfn.XLOOKUP('Raw Data'!A303,$M$2:$M$11,$N$2:$N$11,,1)</f>
        <v>18 - 23</v>
      </c>
      <c r="B303" t="str">
        <f>_xlfn.XLOOKUP('Raw Data'!B303,$Q$2:$Q$9,$R$2:$R$9,,1)</f>
        <v>0 - 5</v>
      </c>
      <c r="C303">
        <v>2</v>
      </c>
      <c r="D303" t="str">
        <f>_xlfn.XLOOKUP('Raw Data'!D303,$V$2:$V$5,$W$2:$W$5,,1)</f>
        <v>19 - 23</v>
      </c>
      <c r="E303">
        <v>2025</v>
      </c>
      <c r="F303" t="str">
        <f>_xlfn.XLOOKUP('Raw Data'!F303,$Q$2:$Q$9,$R$2:$R$9,,1)</f>
        <v>0 - 5</v>
      </c>
      <c r="G303">
        <v>500.05</v>
      </c>
    </row>
    <row r="304" spans="1:7" x14ac:dyDescent="0.25">
      <c r="A304" t="str">
        <f>_xlfn.XLOOKUP('Raw Data'!A304,$M$2:$M$11,$N$2:$N$11,,1)</f>
        <v>48 - 53</v>
      </c>
      <c r="B304" t="str">
        <f>_xlfn.XLOOKUP('Raw Data'!B304,$Q$2:$Q$9,$R$2:$R$9,,1)</f>
        <v>25 - 30</v>
      </c>
      <c r="C304">
        <v>5</v>
      </c>
      <c r="D304" t="str">
        <f>_xlfn.XLOOKUP('Raw Data'!D304,$V$2:$V$5,$W$2:$W$5,,1)</f>
        <v>19 - 23</v>
      </c>
      <c r="E304">
        <v>2005</v>
      </c>
      <c r="F304" t="str">
        <f>_xlfn.XLOOKUP('Raw Data'!F304,$Q$2:$Q$9,$R$2:$R$9,,1)</f>
        <v>15 - 20</v>
      </c>
      <c r="G304">
        <v>491.55</v>
      </c>
    </row>
    <row r="305" spans="1:7" x14ac:dyDescent="0.25">
      <c r="A305" t="str">
        <f>_xlfn.XLOOKUP('Raw Data'!A305,$M$2:$M$11,$N$2:$N$11,,1)</f>
        <v>28 - 33</v>
      </c>
      <c r="B305" t="str">
        <f>_xlfn.XLOOKUP('Raw Data'!B305,$Q$2:$Q$9,$R$2:$R$9,,1)</f>
        <v>10 - 15</v>
      </c>
      <c r="C305">
        <v>3</v>
      </c>
      <c r="D305" t="str">
        <f>_xlfn.XLOOKUP('Raw Data'!D305,$V$2:$V$5,$W$2:$W$5,,1)</f>
        <v>11 - 15</v>
      </c>
      <c r="E305">
        <v>2011</v>
      </c>
      <c r="F305" t="str">
        <f>_xlfn.XLOOKUP('Raw Data'!F305,$Q$2:$Q$9,$R$2:$R$9,,1)</f>
        <v>10 - 15</v>
      </c>
      <c r="G305">
        <v>495.35</v>
      </c>
    </row>
    <row r="306" spans="1:7" x14ac:dyDescent="0.25">
      <c r="A306" t="str">
        <f>_xlfn.XLOOKUP('Raw Data'!A306,$M$2:$M$11,$N$2:$N$11,,1)</f>
        <v>53 - 58</v>
      </c>
      <c r="B306" t="str">
        <f>_xlfn.XLOOKUP('Raw Data'!B306,$Q$2:$Q$9,$R$2:$R$9,,1)</f>
        <v>30 - 35</v>
      </c>
      <c r="C306">
        <v>4</v>
      </c>
      <c r="D306" t="str">
        <f>_xlfn.XLOOKUP('Raw Data'!D306,$V$2:$V$5,$W$2:$W$5,,1)</f>
        <v>11 - 15</v>
      </c>
      <c r="E306">
        <v>2010</v>
      </c>
      <c r="F306" t="str">
        <f>_xlfn.XLOOKUP('Raw Data'!F306,$Q$2:$Q$9,$R$2:$R$9,,1)</f>
        <v>10 - 15</v>
      </c>
      <c r="G306">
        <v>487.25</v>
      </c>
    </row>
    <row r="307" spans="1:7" x14ac:dyDescent="0.25">
      <c r="A307" t="str">
        <f>_xlfn.XLOOKUP('Raw Data'!A307,$M$2:$M$11,$N$2:$N$11,,1)</f>
        <v>48 - 53</v>
      </c>
      <c r="B307" t="str">
        <f>_xlfn.XLOOKUP('Raw Data'!B307,$Q$2:$Q$9,$R$2:$R$9,,1)</f>
        <v>15 - 20</v>
      </c>
      <c r="C307">
        <v>3</v>
      </c>
      <c r="D307" t="str">
        <f>_xlfn.XLOOKUP('Raw Data'!D307,$V$2:$V$5,$W$2:$W$5,,1)</f>
        <v>15 - 19</v>
      </c>
      <c r="E307">
        <v>2010</v>
      </c>
      <c r="F307" t="str">
        <f>_xlfn.XLOOKUP('Raw Data'!F307,$Q$2:$Q$9,$R$2:$R$9,,1)</f>
        <v>10 - 15</v>
      </c>
      <c r="G307">
        <v>491.5</v>
      </c>
    </row>
    <row r="308" spans="1:7" x14ac:dyDescent="0.25">
      <c r="A308" t="str">
        <f>_xlfn.XLOOKUP('Raw Data'!A308,$M$2:$M$11,$N$2:$N$11,,1)</f>
        <v>48 - 53</v>
      </c>
      <c r="B308" t="str">
        <f>_xlfn.XLOOKUP('Raw Data'!B308,$Q$2:$Q$9,$R$2:$R$9,,1)</f>
        <v>15 - 20</v>
      </c>
      <c r="C308">
        <v>1</v>
      </c>
      <c r="D308" t="str">
        <f>_xlfn.XLOOKUP('Raw Data'!D308,$V$2:$V$5,$W$2:$W$5,,1)</f>
        <v>23 - 27</v>
      </c>
      <c r="E308">
        <v>1997</v>
      </c>
      <c r="F308" t="str">
        <f>_xlfn.XLOOKUP('Raw Data'!F308,$Q$2:$Q$9,$R$2:$R$9,,1)</f>
        <v>25 - 30</v>
      </c>
      <c r="G308">
        <v>490.7</v>
      </c>
    </row>
    <row r="309" spans="1:7" x14ac:dyDescent="0.25">
      <c r="A309" t="str">
        <f>_xlfn.XLOOKUP('Raw Data'!A309,$M$2:$M$11,$N$2:$N$11,,1)</f>
        <v>18 - 23</v>
      </c>
      <c r="B309" t="str">
        <f>_xlfn.XLOOKUP('Raw Data'!B309,$Q$2:$Q$9,$R$2:$R$9,,1)</f>
        <v>0 - 5</v>
      </c>
      <c r="C309">
        <v>3</v>
      </c>
      <c r="D309" t="str">
        <f>_xlfn.XLOOKUP('Raw Data'!D309,$V$2:$V$5,$W$2:$W$5,,1)</f>
        <v>11 - 15</v>
      </c>
      <c r="E309">
        <v>2005</v>
      </c>
      <c r="F309" t="str">
        <f>_xlfn.XLOOKUP('Raw Data'!F309,$Q$2:$Q$9,$R$2:$R$9,,1)</f>
        <v>15 - 20</v>
      </c>
      <c r="G309">
        <v>502.05</v>
      </c>
    </row>
    <row r="310" spans="1:7" x14ac:dyDescent="0.25">
      <c r="A310" t="str">
        <f>_xlfn.XLOOKUP('Raw Data'!A310,$M$2:$M$11,$N$2:$N$11,,1)</f>
        <v>48 - 53</v>
      </c>
      <c r="B310" t="str">
        <f>_xlfn.XLOOKUP('Raw Data'!B310,$Q$2:$Q$9,$R$2:$R$9,,1)</f>
        <v>5 - 10</v>
      </c>
      <c r="C310">
        <v>0</v>
      </c>
      <c r="D310" t="str">
        <f>_xlfn.XLOOKUP('Raw Data'!D310,$V$2:$V$5,$W$2:$W$5,,1)</f>
        <v>19 - 23</v>
      </c>
      <c r="E310">
        <v>2020</v>
      </c>
      <c r="F310" t="str">
        <f>_xlfn.XLOOKUP('Raw Data'!F310,$Q$2:$Q$9,$R$2:$R$9,,1)</f>
        <v>0 - 5</v>
      </c>
      <c r="G310">
        <v>489.25</v>
      </c>
    </row>
    <row r="311" spans="1:7" x14ac:dyDescent="0.25">
      <c r="A311" t="str">
        <f>_xlfn.XLOOKUP('Raw Data'!A311,$M$2:$M$11,$N$2:$N$11,,1)</f>
        <v>28 - 33</v>
      </c>
      <c r="B311" t="str">
        <f>_xlfn.XLOOKUP('Raw Data'!B311,$Q$2:$Q$9,$R$2:$R$9,,1)</f>
        <v>10 - 15</v>
      </c>
      <c r="C311">
        <v>1</v>
      </c>
      <c r="D311" t="str">
        <f>_xlfn.XLOOKUP('Raw Data'!D311,$V$2:$V$5,$W$2:$W$5,,1)</f>
        <v>11 - 15</v>
      </c>
      <c r="E311">
        <v>1999</v>
      </c>
      <c r="F311" t="str">
        <f>_xlfn.XLOOKUP('Raw Data'!F311,$Q$2:$Q$9,$R$2:$R$9,,1)</f>
        <v>25 - 30</v>
      </c>
      <c r="G311">
        <v>494.7</v>
      </c>
    </row>
    <row r="312" spans="1:7" x14ac:dyDescent="0.25">
      <c r="A312" t="str">
        <f>_xlfn.XLOOKUP('Raw Data'!A312,$M$2:$M$11,$N$2:$N$11,,1)</f>
        <v>33 - 38</v>
      </c>
      <c r="B312" t="str">
        <f>_xlfn.XLOOKUP('Raw Data'!B312,$Q$2:$Q$9,$R$2:$R$9,,1)</f>
        <v>0 - 5</v>
      </c>
      <c r="C312">
        <v>5</v>
      </c>
      <c r="D312" t="str">
        <f>_xlfn.XLOOKUP('Raw Data'!D312,$V$2:$V$5,$W$2:$W$5,,1)</f>
        <v>15 - 19</v>
      </c>
      <c r="E312">
        <v>2021</v>
      </c>
      <c r="F312" t="str">
        <f>_xlfn.XLOOKUP('Raw Data'!F312,$Q$2:$Q$9,$R$2:$R$9,,1)</f>
        <v>0 - 5</v>
      </c>
      <c r="G312">
        <v>500.9</v>
      </c>
    </row>
    <row r="313" spans="1:7" x14ac:dyDescent="0.25">
      <c r="A313" t="str">
        <f>_xlfn.XLOOKUP('Raw Data'!A313,$M$2:$M$11,$N$2:$N$11,,1)</f>
        <v>63 - 68</v>
      </c>
      <c r="B313" t="str">
        <f>_xlfn.XLOOKUP('Raw Data'!B313,$Q$2:$Q$9,$R$2:$R$9,,1)</f>
        <v>20 - 25</v>
      </c>
      <c r="C313">
        <v>1</v>
      </c>
      <c r="D313" t="str">
        <f>_xlfn.XLOOKUP('Raw Data'!D313,$V$2:$V$5,$W$2:$W$5,,1)</f>
        <v>11 - 15</v>
      </c>
      <c r="E313">
        <v>2023</v>
      </c>
      <c r="F313" t="str">
        <f>_xlfn.XLOOKUP('Raw Data'!F313,$Q$2:$Q$9,$R$2:$R$9,,1)</f>
        <v>0 - 5</v>
      </c>
      <c r="G313">
        <v>482.05</v>
      </c>
    </row>
    <row r="314" spans="1:7" x14ac:dyDescent="0.25">
      <c r="A314" t="str">
        <f>_xlfn.XLOOKUP('Raw Data'!A314,$M$2:$M$11,$N$2:$N$11,,1)</f>
        <v>33 - 38</v>
      </c>
      <c r="B314" t="str">
        <f>_xlfn.XLOOKUP('Raw Data'!B314,$Q$2:$Q$9,$R$2:$R$9,,1)</f>
        <v>15 - 20</v>
      </c>
      <c r="C314">
        <v>4</v>
      </c>
      <c r="D314" t="str">
        <f>_xlfn.XLOOKUP('Raw Data'!D314,$V$2:$V$5,$W$2:$W$5,,1)</f>
        <v>19 - 23</v>
      </c>
      <c r="E314">
        <v>1998</v>
      </c>
      <c r="F314" t="str">
        <f>_xlfn.XLOOKUP('Raw Data'!F314,$Q$2:$Q$9,$R$2:$R$9,,1)</f>
        <v>25 - 30</v>
      </c>
      <c r="G314">
        <v>496.75</v>
      </c>
    </row>
    <row r="315" spans="1:7" x14ac:dyDescent="0.25">
      <c r="A315" t="str">
        <f>_xlfn.XLOOKUP('Raw Data'!A315,$M$2:$M$11,$N$2:$N$11,,1)</f>
        <v>23 - 28</v>
      </c>
      <c r="B315" t="str">
        <f>_xlfn.XLOOKUP('Raw Data'!B315,$Q$2:$Q$9,$R$2:$R$9,,1)</f>
        <v>5 - 10</v>
      </c>
      <c r="C315">
        <v>2</v>
      </c>
      <c r="D315" t="str">
        <f>_xlfn.XLOOKUP('Raw Data'!D315,$V$2:$V$5,$W$2:$W$5,,1)</f>
        <v>19 - 23</v>
      </c>
      <c r="E315">
        <v>2006</v>
      </c>
      <c r="F315" t="str">
        <f>_xlfn.XLOOKUP('Raw Data'!F315,$Q$2:$Q$9,$R$2:$R$9,,1)</f>
        <v>15 - 20</v>
      </c>
      <c r="G315">
        <v>498.95</v>
      </c>
    </row>
    <row r="316" spans="1:7" x14ac:dyDescent="0.25">
      <c r="A316" t="str">
        <f>_xlfn.XLOOKUP('Raw Data'!A316,$M$2:$M$11,$N$2:$N$11,,1)</f>
        <v>23 - 28</v>
      </c>
      <c r="B316" t="str">
        <f>_xlfn.XLOOKUP('Raw Data'!B316,$Q$2:$Q$9,$R$2:$R$9,,1)</f>
        <v>5 - 10</v>
      </c>
      <c r="C316">
        <v>5</v>
      </c>
      <c r="D316" t="str">
        <f>_xlfn.XLOOKUP('Raw Data'!D316,$V$2:$V$5,$W$2:$W$5,,1)</f>
        <v>15 - 19</v>
      </c>
      <c r="E316">
        <v>2000</v>
      </c>
      <c r="F316" t="str">
        <f>_xlfn.XLOOKUP('Raw Data'!F316,$Q$2:$Q$9,$R$2:$R$9,,1)</f>
        <v>20 - 25</v>
      </c>
      <c r="G316">
        <v>504.2</v>
      </c>
    </row>
    <row r="317" spans="1:7" x14ac:dyDescent="0.25">
      <c r="A317" t="str">
        <f>_xlfn.XLOOKUP('Raw Data'!A317,$M$2:$M$11,$N$2:$N$11,,1)</f>
        <v>18 - 23</v>
      </c>
      <c r="B317" t="str">
        <f>_xlfn.XLOOKUP('Raw Data'!B317,$Q$2:$Q$9,$R$2:$R$9,,1)</f>
        <v>0 - 5</v>
      </c>
      <c r="C317">
        <v>1</v>
      </c>
      <c r="D317" t="str">
        <f>_xlfn.XLOOKUP('Raw Data'!D317,$V$2:$V$5,$W$2:$W$5,,1)</f>
        <v>11 - 15</v>
      </c>
      <c r="E317">
        <v>2021</v>
      </c>
      <c r="F317" t="str">
        <f>_xlfn.XLOOKUP('Raw Data'!F317,$Q$2:$Q$9,$R$2:$R$9,,1)</f>
        <v>0 - 5</v>
      </c>
      <c r="G317">
        <v>497.85</v>
      </c>
    </row>
    <row r="318" spans="1:7" x14ac:dyDescent="0.25">
      <c r="A318" t="str">
        <f>_xlfn.XLOOKUP('Raw Data'!A318,$M$2:$M$11,$N$2:$N$11,,1)</f>
        <v>33 - 38</v>
      </c>
      <c r="B318" t="str">
        <f>_xlfn.XLOOKUP('Raw Data'!B318,$Q$2:$Q$9,$R$2:$R$9,,1)</f>
        <v>15 - 20</v>
      </c>
      <c r="C318">
        <v>5</v>
      </c>
      <c r="D318" t="str">
        <f>_xlfn.XLOOKUP('Raw Data'!D318,$V$2:$V$5,$W$2:$W$5,,1)</f>
        <v>23 - 27</v>
      </c>
      <c r="E318">
        <v>1999</v>
      </c>
      <c r="F318" t="str">
        <f>_xlfn.XLOOKUP('Raw Data'!F318,$Q$2:$Q$9,$R$2:$R$9,,1)</f>
        <v>25 - 30</v>
      </c>
      <c r="G318">
        <v>499.7</v>
      </c>
    </row>
    <row r="319" spans="1:7" x14ac:dyDescent="0.25">
      <c r="A319" t="str">
        <f>_xlfn.XLOOKUP('Raw Data'!A319,$M$2:$M$11,$N$2:$N$11,,1)</f>
        <v>48 - 53</v>
      </c>
      <c r="B319" t="str">
        <f>_xlfn.XLOOKUP('Raw Data'!B319,$Q$2:$Q$9,$R$2:$R$9,,1)</f>
        <v>25 - 30</v>
      </c>
      <c r="C319">
        <v>5</v>
      </c>
      <c r="D319" t="str">
        <f>_xlfn.XLOOKUP('Raw Data'!D319,$V$2:$V$5,$W$2:$W$5,,1)</f>
        <v>11 - 15</v>
      </c>
      <c r="E319">
        <v>2011</v>
      </c>
      <c r="F319" t="str">
        <f>_xlfn.XLOOKUP('Raw Data'!F319,$Q$2:$Q$9,$R$2:$R$9,,1)</f>
        <v>10 - 15</v>
      </c>
      <c r="G319">
        <v>491.05</v>
      </c>
    </row>
    <row r="320" spans="1:7" x14ac:dyDescent="0.25">
      <c r="A320" t="str">
        <f>_xlfn.XLOOKUP('Raw Data'!A320,$M$2:$M$11,$N$2:$N$11,,1)</f>
        <v>63 - 68</v>
      </c>
      <c r="B320" t="str">
        <f>_xlfn.XLOOKUP('Raw Data'!B320,$Q$2:$Q$9,$R$2:$R$9,,1)</f>
        <v>30 - 35</v>
      </c>
      <c r="C320">
        <v>5</v>
      </c>
      <c r="D320" t="str">
        <f>_xlfn.XLOOKUP('Raw Data'!D320,$V$2:$V$5,$W$2:$W$5,,1)</f>
        <v>23 - 27</v>
      </c>
      <c r="E320">
        <v>2006</v>
      </c>
      <c r="F320" t="str">
        <f>_xlfn.XLOOKUP('Raw Data'!F320,$Q$2:$Q$9,$R$2:$R$9,,1)</f>
        <v>15 - 20</v>
      </c>
      <c r="G320">
        <v>487.7</v>
      </c>
    </row>
    <row r="321" spans="1:7" x14ac:dyDescent="0.25">
      <c r="A321" t="str">
        <f>_xlfn.XLOOKUP('Raw Data'!A321,$M$2:$M$11,$N$2:$N$11,,1)</f>
        <v>28 - 33</v>
      </c>
      <c r="B321" t="str">
        <f>_xlfn.XLOOKUP('Raw Data'!B321,$Q$2:$Q$9,$R$2:$R$9,,1)</f>
        <v>10 - 15</v>
      </c>
      <c r="C321">
        <v>2</v>
      </c>
      <c r="D321" t="str">
        <f>_xlfn.XLOOKUP('Raw Data'!D321,$V$2:$V$5,$W$2:$W$5,,1)</f>
        <v>15 - 19</v>
      </c>
      <c r="E321">
        <v>1993</v>
      </c>
      <c r="F321" t="str">
        <f>_xlfn.XLOOKUP('Raw Data'!F321,$Q$2:$Q$9,$R$2:$R$9,,1)</f>
        <v>30 - 35</v>
      </c>
      <c r="G321">
        <v>498</v>
      </c>
    </row>
    <row r="322" spans="1:7" x14ac:dyDescent="0.25">
      <c r="A322" t="str">
        <f>_xlfn.XLOOKUP('Raw Data'!A322,$M$2:$M$11,$N$2:$N$11,,1)</f>
        <v>38 - 43</v>
      </c>
      <c r="B322" t="str">
        <f>_xlfn.XLOOKUP('Raw Data'!B322,$Q$2:$Q$9,$R$2:$R$9,,1)</f>
        <v>20 - 25</v>
      </c>
      <c r="C322">
        <v>3</v>
      </c>
      <c r="D322" t="str">
        <f>_xlfn.XLOOKUP('Raw Data'!D322,$V$2:$V$5,$W$2:$W$5,,1)</f>
        <v>19 - 23</v>
      </c>
      <c r="E322">
        <v>2014</v>
      </c>
      <c r="F322" t="str">
        <f>_xlfn.XLOOKUP('Raw Data'!F322,$Q$2:$Q$9,$R$2:$R$9,,1)</f>
        <v>10 - 15</v>
      </c>
      <c r="G322">
        <v>492.55</v>
      </c>
    </row>
    <row r="323" spans="1:7" x14ac:dyDescent="0.25">
      <c r="A323" t="str">
        <f>_xlfn.XLOOKUP('Raw Data'!A323,$M$2:$M$11,$N$2:$N$11,,1)</f>
        <v>38 - 43</v>
      </c>
      <c r="B323" t="str">
        <f>_xlfn.XLOOKUP('Raw Data'!B323,$Q$2:$Q$9,$R$2:$R$9,,1)</f>
        <v>5 - 10</v>
      </c>
      <c r="C323">
        <v>5</v>
      </c>
      <c r="D323" t="str">
        <f>_xlfn.XLOOKUP('Raw Data'!D323,$V$2:$V$5,$W$2:$W$5,,1)</f>
        <v>11 - 15</v>
      </c>
      <c r="E323">
        <v>2010</v>
      </c>
      <c r="F323" t="str">
        <f>_xlfn.XLOOKUP('Raw Data'!F323,$Q$2:$Q$9,$R$2:$R$9,,1)</f>
        <v>10 - 15</v>
      </c>
      <c r="G323">
        <v>498.9</v>
      </c>
    </row>
    <row r="324" spans="1:7" x14ac:dyDescent="0.25">
      <c r="A324" t="str">
        <f>_xlfn.XLOOKUP('Raw Data'!A324,$M$2:$M$11,$N$2:$N$11,,1)</f>
        <v>58 - 63</v>
      </c>
      <c r="B324" t="str">
        <f>_xlfn.XLOOKUP('Raw Data'!B324,$Q$2:$Q$9,$R$2:$R$9,,1)</f>
        <v>0 - 5</v>
      </c>
      <c r="C324">
        <v>0</v>
      </c>
      <c r="D324" t="str">
        <f>_xlfn.XLOOKUP('Raw Data'!D324,$V$2:$V$5,$W$2:$W$5,,1)</f>
        <v>19 - 23</v>
      </c>
      <c r="E324">
        <v>1990</v>
      </c>
      <c r="F324" t="str">
        <f>_xlfn.XLOOKUP('Raw Data'!F324,$Q$2:$Q$9,$R$2:$R$9,,1)</f>
        <v>30 - 35</v>
      </c>
      <c r="G324">
        <v>490.5</v>
      </c>
    </row>
    <row r="325" spans="1:7" x14ac:dyDescent="0.25">
      <c r="A325" t="str">
        <f>_xlfn.XLOOKUP('Raw Data'!A325,$M$2:$M$11,$N$2:$N$11,,1)</f>
        <v>43 - 48</v>
      </c>
      <c r="B325" t="str">
        <f>_xlfn.XLOOKUP('Raw Data'!B325,$Q$2:$Q$9,$R$2:$R$9,,1)</f>
        <v>15 - 20</v>
      </c>
      <c r="C325">
        <v>4</v>
      </c>
      <c r="D325" t="str">
        <f>_xlfn.XLOOKUP('Raw Data'!D325,$V$2:$V$5,$W$2:$W$5,,1)</f>
        <v>11 - 15</v>
      </c>
      <c r="E325">
        <v>2014</v>
      </c>
      <c r="F325" t="str">
        <f>_xlfn.XLOOKUP('Raw Data'!F325,$Q$2:$Q$9,$R$2:$R$9,,1)</f>
        <v>10 - 15</v>
      </c>
      <c r="G325">
        <v>493.15</v>
      </c>
    </row>
    <row r="326" spans="1:7" x14ac:dyDescent="0.25">
      <c r="A326" t="str">
        <f>_xlfn.XLOOKUP('Raw Data'!A326,$M$2:$M$11,$N$2:$N$11,,1)</f>
        <v>53 - 58</v>
      </c>
      <c r="B326" t="str">
        <f>_xlfn.XLOOKUP('Raw Data'!B326,$Q$2:$Q$9,$R$2:$R$9,,1)</f>
        <v>15 - 20</v>
      </c>
      <c r="C326">
        <v>2</v>
      </c>
      <c r="D326" t="str">
        <f>_xlfn.XLOOKUP('Raw Data'!D326,$V$2:$V$5,$W$2:$W$5,,1)</f>
        <v>19 - 23</v>
      </c>
      <c r="E326">
        <v>2025</v>
      </c>
      <c r="F326" t="str">
        <f>_xlfn.XLOOKUP('Raw Data'!F326,$Q$2:$Q$9,$R$2:$R$9,,1)</f>
        <v>0 - 5</v>
      </c>
      <c r="G326">
        <v>487</v>
      </c>
    </row>
    <row r="327" spans="1:7" x14ac:dyDescent="0.25">
      <c r="A327" t="str">
        <f>_xlfn.XLOOKUP('Raw Data'!A327,$M$2:$M$11,$N$2:$N$11,,1)</f>
        <v>53 - 58</v>
      </c>
      <c r="B327" t="str">
        <f>_xlfn.XLOOKUP('Raw Data'!B327,$Q$2:$Q$9,$R$2:$R$9,,1)</f>
        <v>30 - 35</v>
      </c>
      <c r="C327">
        <v>1</v>
      </c>
      <c r="D327" t="str">
        <f>_xlfn.XLOOKUP('Raw Data'!D327,$V$2:$V$5,$W$2:$W$5,,1)</f>
        <v>15 - 19</v>
      </c>
      <c r="E327">
        <v>2006</v>
      </c>
      <c r="F327" t="str">
        <f>_xlfn.XLOOKUP('Raw Data'!F327,$Q$2:$Q$9,$R$2:$R$9,,1)</f>
        <v>15 - 20</v>
      </c>
      <c r="G327">
        <v>482.75</v>
      </c>
    </row>
    <row r="328" spans="1:7" x14ac:dyDescent="0.25">
      <c r="A328" t="str">
        <f>_xlfn.XLOOKUP('Raw Data'!A328,$M$2:$M$11,$N$2:$N$11,,1)</f>
        <v>58 - 63</v>
      </c>
      <c r="B328" t="str">
        <f>_xlfn.XLOOKUP('Raw Data'!B328,$Q$2:$Q$9,$R$2:$R$9,,1)</f>
        <v>35 - 40</v>
      </c>
      <c r="C328">
        <v>2</v>
      </c>
      <c r="D328" t="str">
        <f>_xlfn.XLOOKUP('Raw Data'!D328,$V$2:$V$5,$W$2:$W$5,,1)</f>
        <v>11 - 15</v>
      </c>
      <c r="E328">
        <v>2013</v>
      </c>
      <c r="F328" t="str">
        <f>_xlfn.XLOOKUP('Raw Data'!F328,$Q$2:$Q$9,$R$2:$R$9,,1)</f>
        <v>10 - 15</v>
      </c>
      <c r="G328">
        <v>480.55</v>
      </c>
    </row>
    <row r="329" spans="1:7" x14ac:dyDescent="0.25">
      <c r="A329" t="str">
        <f>_xlfn.XLOOKUP('Raw Data'!A329,$M$2:$M$11,$N$2:$N$11,,1)</f>
        <v>23 - 28</v>
      </c>
      <c r="B329" t="str">
        <f>_xlfn.XLOOKUP('Raw Data'!B329,$Q$2:$Q$9,$R$2:$R$9,,1)</f>
        <v>5 - 10</v>
      </c>
      <c r="C329">
        <v>1</v>
      </c>
      <c r="D329" t="str">
        <f>_xlfn.XLOOKUP('Raw Data'!D329,$V$2:$V$5,$W$2:$W$5,,1)</f>
        <v>11 - 15</v>
      </c>
      <c r="E329">
        <v>1991</v>
      </c>
      <c r="F329" t="str">
        <f>_xlfn.XLOOKUP('Raw Data'!F329,$Q$2:$Q$9,$R$2:$R$9,,1)</f>
        <v>30 - 35</v>
      </c>
      <c r="G329">
        <v>498.55</v>
      </c>
    </row>
    <row r="330" spans="1:7" x14ac:dyDescent="0.25">
      <c r="A330" t="str">
        <f>_xlfn.XLOOKUP('Raw Data'!A330,$M$2:$M$11,$N$2:$N$11,,1)</f>
        <v>43 - 48</v>
      </c>
      <c r="B330" t="str">
        <f>_xlfn.XLOOKUP('Raw Data'!B330,$Q$2:$Q$9,$R$2:$R$9,,1)</f>
        <v>25 - 30</v>
      </c>
      <c r="C330">
        <v>2</v>
      </c>
      <c r="D330" t="str">
        <f>_xlfn.XLOOKUP('Raw Data'!D330,$V$2:$V$5,$W$2:$W$5,,1)</f>
        <v>11 - 15</v>
      </c>
      <c r="E330">
        <v>2004</v>
      </c>
      <c r="F330" t="str">
        <f>_xlfn.XLOOKUP('Raw Data'!F330,$Q$2:$Q$9,$R$2:$R$9,,1)</f>
        <v>20 - 25</v>
      </c>
      <c r="G330">
        <v>489.05</v>
      </c>
    </row>
    <row r="331" spans="1:7" x14ac:dyDescent="0.25">
      <c r="A331" t="str">
        <f>_xlfn.XLOOKUP('Raw Data'!A331,$M$2:$M$11,$N$2:$N$11,,1)</f>
        <v>43 - 48</v>
      </c>
      <c r="B331" t="str">
        <f>_xlfn.XLOOKUP('Raw Data'!B331,$Q$2:$Q$9,$R$2:$R$9,,1)</f>
        <v>15 - 20</v>
      </c>
      <c r="C331">
        <v>1</v>
      </c>
      <c r="D331" t="str">
        <f>_xlfn.XLOOKUP('Raw Data'!D331,$V$2:$V$5,$W$2:$W$5,,1)</f>
        <v>23 - 27</v>
      </c>
      <c r="E331">
        <v>2021</v>
      </c>
      <c r="F331" t="str">
        <f>_xlfn.XLOOKUP('Raw Data'!F331,$Q$2:$Q$9,$R$2:$R$9,,1)</f>
        <v>0 - 5</v>
      </c>
      <c r="G331">
        <v>489.5</v>
      </c>
    </row>
    <row r="332" spans="1:7" x14ac:dyDescent="0.25">
      <c r="A332" t="str">
        <f>_xlfn.XLOOKUP('Raw Data'!A332,$M$2:$M$11,$N$2:$N$11,,1)</f>
        <v>48 - 53</v>
      </c>
      <c r="B332" t="str">
        <f>_xlfn.XLOOKUP('Raw Data'!B332,$Q$2:$Q$9,$R$2:$R$9,,1)</f>
        <v>30 - 35</v>
      </c>
      <c r="C332">
        <v>5</v>
      </c>
      <c r="D332" t="str">
        <f>_xlfn.XLOOKUP('Raw Data'!D332,$V$2:$V$5,$W$2:$W$5,,1)</f>
        <v>19 - 23</v>
      </c>
      <c r="E332">
        <v>1995</v>
      </c>
      <c r="F332" t="str">
        <f>_xlfn.XLOOKUP('Raw Data'!F332,$Q$2:$Q$9,$R$2:$R$9,,1)</f>
        <v>25 - 30</v>
      </c>
      <c r="G332">
        <v>491.4</v>
      </c>
    </row>
    <row r="333" spans="1:7" x14ac:dyDescent="0.25">
      <c r="A333" t="str">
        <f>_xlfn.XLOOKUP('Raw Data'!A333,$M$2:$M$11,$N$2:$N$11,,1)</f>
        <v>33 - 38</v>
      </c>
      <c r="B333" t="str">
        <f>_xlfn.XLOOKUP('Raw Data'!B333,$Q$2:$Q$9,$R$2:$R$9,,1)</f>
        <v>15 - 20</v>
      </c>
      <c r="C333">
        <v>3</v>
      </c>
      <c r="D333" t="str">
        <f>_xlfn.XLOOKUP('Raw Data'!D333,$V$2:$V$5,$W$2:$W$5,,1)</f>
        <v>19 - 23</v>
      </c>
      <c r="E333">
        <v>1990</v>
      </c>
      <c r="F333" t="str">
        <f>_xlfn.XLOOKUP('Raw Data'!F333,$Q$2:$Q$9,$R$2:$R$9,,1)</f>
        <v>30 - 35</v>
      </c>
      <c r="G333">
        <v>495.45</v>
      </c>
    </row>
    <row r="334" spans="1:7" x14ac:dyDescent="0.25">
      <c r="A334" t="str">
        <f>_xlfn.XLOOKUP('Raw Data'!A334,$M$2:$M$11,$N$2:$N$11,,1)</f>
        <v>43 - 48</v>
      </c>
      <c r="B334" t="str">
        <f>_xlfn.XLOOKUP('Raw Data'!B334,$Q$2:$Q$9,$R$2:$R$9,,1)</f>
        <v>25 - 30</v>
      </c>
      <c r="C334">
        <v>1</v>
      </c>
      <c r="D334" t="str">
        <f>_xlfn.XLOOKUP('Raw Data'!D334,$V$2:$V$5,$W$2:$W$5,,1)</f>
        <v>15 - 19</v>
      </c>
      <c r="E334">
        <v>2012</v>
      </c>
      <c r="F334" t="str">
        <f>_xlfn.XLOOKUP('Raw Data'!F334,$Q$2:$Q$9,$R$2:$R$9,,1)</f>
        <v>10 - 15</v>
      </c>
      <c r="G334">
        <v>485.5</v>
      </c>
    </row>
    <row r="335" spans="1:7" x14ac:dyDescent="0.25">
      <c r="A335" t="str">
        <f>_xlfn.XLOOKUP('Raw Data'!A335,$M$2:$M$11,$N$2:$N$11,,1)</f>
        <v>48 - 53</v>
      </c>
      <c r="B335" t="str">
        <f>_xlfn.XLOOKUP('Raw Data'!B335,$Q$2:$Q$9,$R$2:$R$9,,1)</f>
        <v>10 - 15</v>
      </c>
      <c r="C335">
        <v>1</v>
      </c>
      <c r="D335" t="str">
        <f>_xlfn.XLOOKUP('Raw Data'!D335,$V$2:$V$5,$W$2:$W$5,,1)</f>
        <v>23 - 27</v>
      </c>
      <c r="E335">
        <v>2006</v>
      </c>
      <c r="F335" t="str">
        <f>_xlfn.XLOOKUP('Raw Data'!F335,$Q$2:$Q$9,$R$2:$R$9,,1)</f>
        <v>15 - 20</v>
      </c>
      <c r="G335">
        <v>491.3</v>
      </c>
    </row>
    <row r="336" spans="1:7" x14ac:dyDescent="0.25">
      <c r="A336" t="str">
        <f>_xlfn.XLOOKUP('Raw Data'!A336,$M$2:$M$11,$N$2:$N$11,,1)</f>
        <v>43 - 48</v>
      </c>
      <c r="B336" t="str">
        <f>_xlfn.XLOOKUP('Raw Data'!B336,$Q$2:$Q$9,$R$2:$R$9,,1)</f>
        <v>20 - 25</v>
      </c>
      <c r="C336">
        <v>0</v>
      </c>
      <c r="D336" t="str">
        <f>_xlfn.XLOOKUP('Raw Data'!D336,$V$2:$V$5,$W$2:$W$5,,1)</f>
        <v>15 - 19</v>
      </c>
      <c r="E336">
        <v>2023</v>
      </c>
      <c r="F336" t="str">
        <f>_xlfn.XLOOKUP('Raw Data'!F336,$Q$2:$Q$9,$R$2:$R$9,,1)</f>
        <v>0 - 5</v>
      </c>
      <c r="G336">
        <v>485.55</v>
      </c>
    </row>
    <row r="337" spans="1:7" x14ac:dyDescent="0.25">
      <c r="A337" t="str">
        <f>_xlfn.XLOOKUP('Raw Data'!A337,$M$2:$M$11,$N$2:$N$11,,1)</f>
        <v>63 - 68</v>
      </c>
      <c r="B337" t="str">
        <f>_xlfn.XLOOKUP('Raw Data'!B337,$Q$2:$Q$9,$R$2:$R$9,,1)</f>
        <v>20 - 25</v>
      </c>
      <c r="C337">
        <v>1</v>
      </c>
      <c r="D337" t="str">
        <f>_xlfn.XLOOKUP('Raw Data'!D337,$V$2:$V$5,$W$2:$W$5,,1)</f>
        <v>15 - 19</v>
      </c>
      <c r="E337">
        <v>2018</v>
      </c>
      <c r="F337" t="str">
        <f>_xlfn.XLOOKUP('Raw Data'!F337,$Q$2:$Q$9,$R$2:$R$9,,1)</f>
        <v>5 - 10</v>
      </c>
      <c r="G337">
        <v>484.05</v>
      </c>
    </row>
    <row r="338" spans="1:7" x14ac:dyDescent="0.25">
      <c r="A338" t="str">
        <f>_xlfn.XLOOKUP('Raw Data'!A338,$M$2:$M$11,$N$2:$N$11,,1)</f>
        <v>48 - 53</v>
      </c>
      <c r="B338" t="str">
        <f>_xlfn.XLOOKUP('Raw Data'!B338,$Q$2:$Q$9,$R$2:$R$9,,1)</f>
        <v>15 - 20</v>
      </c>
      <c r="C338">
        <v>0</v>
      </c>
      <c r="D338" t="str">
        <f>_xlfn.XLOOKUP('Raw Data'!D338,$V$2:$V$5,$W$2:$W$5,,1)</f>
        <v>15 - 19</v>
      </c>
      <c r="E338">
        <v>1998</v>
      </c>
      <c r="F338" t="str">
        <f>_xlfn.XLOOKUP('Raw Data'!F338,$Q$2:$Q$9,$R$2:$R$9,,1)</f>
        <v>25 - 30</v>
      </c>
      <c r="G338">
        <v>487.6</v>
      </c>
    </row>
    <row r="339" spans="1:7" x14ac:dyDescent="0.25">
      <c r="A339" t="str">
        <f>_xlfn.XLOOKUP('Raw Data'!A339,$M$2:$M$11,$N$2:$N$11,,1)</f>
        <v>18 - 23</v>
      </c>
      <c r="B339" t="str">
        <f>_xlfn.XLOOKUP('Raw Data'!B339,$Q$2:$Q$9,$R$2:$R$9,,1)</f>
        <v>0 - 5</v>
      </c>
      <c r="C339">
        <v>4</v>
      </c>
      <c r="D339" t="str">
        <f>_xlfn.XLOOKUP('Raw Data'!D339,$V$2:$V$5,$W$2:$W$5,,1)</f>
        <v>11 - 15</v>
      </c>
      <c r="E339">
        <v>2002</v>
      </c>
      <c r="F339" t="str">
        <f>_xlfn.XLOOKUP('Raw Data'!F339,$Q$2:$Q$9,$R$2:$R$9,,1)</f>
        <v>20 - 25</v>
      </c>
      <c r="G339">
        <v>503.45</v>
      </c>
    </row>
    <row r="340" spans="1:7" x14ac:dyDescent="0.25">
      <c r="A340" t="str">
        <f>_xlfn.XLOOKUP('Raw Data'!A340,$M$2:$M$11,$N$2:$N$11,,1)</f>
        <v>63 - 68</v>
      </c>
      <c r="B340" t="str">
        <f>_xlfn.XLOOKUP('Raw Data'!B340,$Q$2:$Q$9,$R$2:$R$9,,1)</f>
        <v>25 - 30</v>
      </c>
      <c r="C340">
        <v>5</v>
      </c>
      <c r="D340" t="str">
        <f>_xlfn.XLOOKUP('Raw Data'!D340,$V$2:$V$5,$W$2:$W$5,,1)</f>
        <v>11 - 15</v>
      </c>
      <c r="E340">
        <v>1995</v>
      </c>
      <c r="F340" t="str">
        <f>_xlfn.XLOOKUP('Raw Data'!F340,$Q$2:$Q$9,$R$2:$R$9,,1)</f>
        <v>25 - 30</v>
      </c>
      <c r="G340">
        <v>489.05</v>
      </c>
    </row>
    <row r="341" spans="1:7" x14ac:dyDescent="0.25">
      <c r="A341" t="str">
        <f>_xlfn.XLOOKUP('Raw Data'!A341,$M$2:$M$11,$N$2:$N$11,,1)</f>
        <v>33 - 38</v>
      </c>
      <c r="B341" t="str">
        <f>_xlfn.XLOOKUP('Raw Data'!B341,$Q$2:$Q$9,$R$2:$R$9,,1)</f>
        <v>0 - 5</v>
      </c>
      <c r="C341">
        <v>0</v>
      </c>
      <c r="D341" t="str">
        <f>_xlfn.XLOOKUP('Raw Data'!D341,$V$2:$V$5,$W$2:$W$5,,1)</f>
        <v>15 - 19</v>
      </c>
      <c r="E341">
        <v>1995</v>
      </c>
      <c r="F341" t="str">
        <f>_xlfn.XLOOKUP('Raw Data'!F341,$Q$2:$Q$9,$R$2:$R$9,,1)</f>
        <v>25 - 30</v>
      </c>
      <c r="G341">
        <v>495.25</v>
      </c>
    </row>
    <row r="342" spans="1:7" x14ac:dyDescent="0.25">
      <c r="A342" t="str">
        <f>_xlfn.XLOOKUP('Raw Data'!A342,$M$2:$M$11,$N$2:$N$11,,1)</f>
        <v>18 - 23</v>
      </c>
      <c r="B342" t="str">
        <f>_xlfn.XLOOKUP('Raw Data'!B342,$Q$2:$Q$9,$R$2:$R$9,,1)</f>
        <v>0 - 5</v>
      </c>
      <c r="C342">
        <v>3</v>
      </c>
      <c r="D342" t="str">
        <f>_xlfn.XLOOKUP('Raw Data'!D342,$V$2:$V$5,$W$2:$W$5,,1)</f>
        <v>11 - 15</v>
      </c>
      <c r="E342">
        <v>2009</v>
      </c>
      <c r="F342" t="str">
        <f>_xlfn.XLOOKUP('Raw Data'!F342,$Q$2:$Q$9,$R$2:$R$9,,1)</f>
        <v>15 - 20</v>
      </c>
      <c r="G342">
        <v>501.55</v>
      </c>
    </row>
    <row r="343" spans="1:7" x14ac:dyDescent="0.25">
      <c r="A343" t="str">
        <f>_xlfn.XLOOKUP('Raw Data'!A343,$M$2:$M$11,$N$2:$N$11,,1)</f>
        <v>48 - 53</v>
      </c>
      <c r="B343" t="str">
        <f>_xlfn.XLOOKUP('Raw Data'!B343,$Q$2:$Q$9,$R$2:$R$9,,1)</f>
        <v>30 - 35</v>
      </c>
      <c r="C343">
        <v>5</v>
      </c>
      <c r="D343" t="str">
        <f>_xlfn.XLOOKUP('Raw Data'!D343,$V$2:$V$5,$W$2:$W$5,,1)</f>
        <v>15 - 19</v>
      </c>
      <c r="E343">
        <v>1992</v>
      </c>
      <c r="F343" t="str">
        <f>_xlfn.XLOOKUP('Raw Data'!F343,$Q$2:$Q$9,$R$2:$R$9,,1)</f>
        <v>30 - 35</v>
      </c>
      <c r="G343">
        <v>491.1</v>
      </c>
    </row>
    <row r="344" spans="1:7" x14ac:dyDescent="0.25">
      <c r="A344" t="str">
        <f>_xlfn.XLOOKUP('Raw Data'!A344,$M$2:$M$11,$N$2:$N$11,,1)</f>
        <v>33 - 38</v>
      </c>
      <c r="B344" t="str">
        <f>_xlfn.XLOOKUP('Raw Data'!B344,$Q$2:$Q$9,$R$2:$R$9,,1)</f>
        <v>15 - 20</v>
      </c>
      <c r="C344">
        <v>0</v>
      </c>
      <c r="D344" t="str">
        <f>_xlfn.XLOOKUP('Raw Data'!D344,$V$2:$V$5,$W$2:$W$5,,1)</f>
        <v>11 - 15</v>
      </c>
      <c r="E344">
        <v>2006</v>
      </c>
      <c r="F344" t="str">
        <f>_xlfn.XLOOKUP('Raw Data'!F344,$Q$2:$Q$9,$R$2:$R$9,,1)</f>
        <v>15 - 20</v>
      </c>
      <c r="G344">
        <v>491.05</v>
      </c>
    </row>
    <row r="345" spans="1:7" x14ac:dyDescent="0.25">
      <c r="A345" t="str">
        <f>_xlfn.XLOOKUP('Raw Data'!A345,$M$2:$M$11,$N$2:$N$11,,1)</f>
        <v>58 - 63</v>
      </c>
      <c r="B345" t="str">
        <f>_xlfn.XLOOKUP('Raw Data'!B345,$Q$2:$Q$9,$R$2:$R$9,,1)</f>
        <v>10 - 15</v>
      </c>
      <c r="C345">
        <v>5</v>
      </c>
      <c r="D345" t="str">
        <f>_xlfn.XLOOKUP('Raw Data'!D345,$V$2:$V$5,$W$2:$W$5,,1)</f>
        <v>11 - 15</v>
      </c>
      <c r="E345">
        <v>2001</v>
      </c>
      <c r="F345" t="str">
        <f>_xlfn.XLOOKUP('Raw Data'!F345,$Q$2:$Q$9,$R$2:$R$9,,1)</f>
        <v>20 - 25</v>
      </c>
      <c r="G345">
        <v>495.05</v>
      </c>
    </row>
    <row r="346" spans="1:7" x14ac:dyDescent="0.25">
      <c r="A346" t="str">
        <f>_xlfn.XLOOKUP('Raw Data'!A346,$M$2:$M$11,$N$2:$N$11,,1)</f>
        <v>43 - 48</v>
      </c>
      <c r="B346" t="str">
        <f>_xlfn.XLOOKUP('Raw Data'!B346,$Q$2:$Q$9,$R$2:$R$9,,1)</f>
        <v>5 - 10</v>
      </c>
      <c r="C346">
        <v>5</v>
      </c>
      <c r="D346" t="str">
        <f>_xlfn.XLOOKUP('Raw Data'!D346,$V$2:$V$5,$W$2:$W$5,,1)</f>
        <v>19 - 23</v>
      </c>
      <c r="E346">
        <v>1990</v>
      </c>
      <c r="F346" t="str">
        <f>_xlfn.XLOOKUP('Raw Data'!F346,$Q$2:$Q$9,$R$2:$R$9,,1)</f>
        <v>30 - 35</v>
      </c>
      <c r="G346">
        <v>501.25</v>
      </c>
    </row>
    <row r="347" spans="1:7" x14ac:dyDescent="0.25">
      <c r="A347" t="str">
        <f>_xlfn.XLOOKUP('Raw Data'!A347,$M$2:$M$11,$N$2:$N$11,,1)</f>
        <v>43 - 48</v>
      </c>
      <c r="B347" t="str">
        <f>_xlfn.XLOOKUP('Raw Data'!B347,$Q$2:$Q$9,$R$2:$R$9,,1)</f>
        <v>5 - 10</v>
      </c>
      <c r="C347">
        <v>5</v>
      </c>
      <c r="D347" t="str">
        <f>_xlfn.XLOOKUP('Raw Data'!D347,$V$2:$V$5,$W$2:$W$5,,1)</f>
        <v>15 - 19</v>
      </c>
      <c r="E347">
        <v>2006</v>
      </c>
      <c r="F347" t="str">
        <f>_xlfn.XLOOKUP('Raw Data'!F347,$Q$2:$Q$9,$R$2:$R$9,,1)</f>
        <v>15 - 20</v>
      </c>
      <c r="G347">
        <v>498.15</v>
      </c>
    </row>
    <row r="348" spans="1:7" x14ac:dyDescent="0.25">
      <c r="A348" t="str">
        <f>_xlfn.XLOOKUP('Raw Data'!A348,$M$2:$M$11,$N$2:$N$11,,1)</f>
        <v>43 - 48</v>
      </c>
      <c r="B348" t="str">
        <f>_xlfn.XLOOKUP('Raw Data'!B348,$Q$2:$Q$9,$R$2:$R$9,,1)</f>
        <v>15 - 20</v>
      </c>
      <c r="C348">
        <v>4</v>
      </c>
      <c r="D348" t="str">
        <f>_xlfn.XLOOKUP('Raw Data'!D348,$V$2:$V$5,$W$2:$W$5,,1)</f>
        <v>15 - 19</v>
      </c>
      <c r="E348">
        <v>1992</v>
      </c>
      <c r="F348" t="str">
        <f>_xlfn.XLOOKUP('Raw Data'!F348,$Q$2:$Q$9,$R$2:$R$9,,1)</f>
        <v>30 - 35</v>
      </c>
      <c r="G348">
        <v>496.15</v>
      </c>
    </row>
    <row r="349" spans="1:7" x14ac:dyDescent="0.25">
      <c r="A349" t="str">
        <f>_xlfn.XLOOKUP('Raw Data'!A349,$M$2:$M$11,$N$2:$N$11,,1)</f>
        <v>58 - 63</v>
      </c>
      <c r="B349" t="str">
        <f>_xlfn.XLOOKUP('Raw Data'!B349,$Q$2:$Q$9,$R$2:$R$9,,1)</f>
        <v>20 - 25</v>
      </c>
      <c r="C349">
        <v>3</v>
      </c>
      <c r="D349" t="str">
        <f>_xlfn.XLOOKUP('Raw Data'!D349,$V$2:$V$5,$W$2:$W$5,,1)</f>
        <v>15 - 19</v>
      </c>
      <c r="E349">
        <v>2015</v>
      </c>
      <c r="F349" t="str">
        <f>_xlfn.XLOOKUP('Raw Data'!F349,$Q$2:$Q$9,$R$2:$R$9,,1)</f>
        <v>5 - 10</v>
      </c>
      <c r="G349">
        <v>486.35</v>
      </c>
    </row>
    <row r="350" spans="1:7" x14ac:dyDescent="0.25">
      <c r="A350" t="str">
        <f>_xlfn.XLOOKUP('Raw Data'!A350,$M$2:$M$11,$N$2:$N$11,,1)</f>
        <v>18 - 23</v>
      </c>
      <c r="B350" t="str">
        <f>_xlfn.XLOOKUP('Raw Data'!B350,$Q$2:$Q$9,$R$2:$R$9,,1)</f>
        <v>0 - 5</v>
      </c>
      <c r="C350">
        <v>2</v>
      </c>
      <c r="D350" t="str">
        <f>_xlfn.XLOOKUP('Raw Data'!D350,$V$2:$V$5,$W$2:$W$5,,1)</f>
        <v>15 - 19</v>
      </c>
      <c r="E350">
        <v>2004</v>
      </c>
      <c r="F350" t="str">
        <f>_xlfn.XLOOKUP('Raw Data'!F350,$Q$2:$Q$9,$R$2:$R$9,,1)</f>
        <v>20 - 25</v>
      </c>
      <c r="G350">
        <v>499.85</v>
      </c>
    </row>
    <row r="351" spans="1:7" x14ac:dyDescent="0.25">
      <c r="A351" t="str">
        <f>_xlfn.XLOOKUP('Raw Data'!A351,$M$2:$M$11,$N$2:$N$11,,1)</f>
        <v>48 - 53</v>
      </c>
      <c r="B351" t="str">
        <f>_xlfn.XLOOKUP('Raw Data'!B351,$Q$2:$Q$9,$R$2:$R$9,,1)</f>
        <v>25 - 30</v>
      </c>
      <c r="C351">
        <v>2</v>
      </c>
      <c r="D351" t="str">
        <f>_xlfn.XLOOKUP('Raw Data'!D351,$V$2:$V$5,$W$2:$W$5,,1)</f>
        <v>19 - 23</v>
      </c>
      <c r="E351">
        <v>2025</v>
      </c>
      <c r="F351" t="str">
        <f>_xlfn.XLOOKUP('Raw Data'!F351,$Q$2:$Q$9,$R$2:$R$9,,1)</f>
        <v>0 - 5</v>
      </c>
      <c r="G351">
        <v>485.65</v>
      </c>
    </row>
    <row r="352" spans="1:7" x14ac:dyDescent="0.25">
      <c r="A352" t="str">
        <f>_xlfn.XLOOKUP('Raw Data'!A352,$M$2:$M$11,$N$2:$N$11,,1)</f>
        <v>53 - 58</v>
      </c>
      <c r="B352" t="str">
        <f>_xlfn.XLOOKUP('Raw Data'!B352,$Q$2:$Q$9,$R$2:$R$9,,1)</f>
        <v>0 - 5</v>
      </c>
      <c r="C352">
        <v>0</v>
      </c>
      <c r="D352" t="str">
        <f>_xlfn.XLOOKUP('Raw Data'!D352,$V$2:$V$5,$W$2:$W$5,,1)</f>
        <v>19 - 23</v>
      </c>
      <c r="E352">
        <v>2021</v>
      </c>
      <c r="F352" t="str">
        <f>_xlfn.XLOOKUP('Raw Data'!F352,$Q$2:$Q$9,$R$2:$R$9,,1)</f>
        <v>0 - 5</v>
      </c>
      <c r="G352">
        <v>489.55</v>
      </c>
    </row>
    <row r="353" spans="1:7" x14ac:dyDescent="0.25">
      <c r="A353" t="str">
        <f>_xlfn.XLOOKUP('Raw Data'!A353,$M$2:$M$11,$N$2:$N$11,,1)</f>
        <v>53 - 58</v>
      </c>
      <c r="B353" t="str">
        <f>_xlfn.XLOOKUP('Raw Data'!B353,$Q$2:$Q$9,$R$2:$R$9,,1)</f>
        <v>0 - 5</v>
      </c>
      <c r="C353">
        <v>5</v>
      </c>
      <c r="D353" t="str">
        <f>_xlfn.XLOOKUP('Raw Data'!D353,$V$2:$V$5,$W$2:$W$5,,1)</f>
        <v>23 - 27</v>
      </c>
      <c r="E353">
        <v>2021</v>
      </c>
      <c r="F353" t="str">
        <f>_xlfn.XLOOKUP('Raw Data'!F353,$Q$2:$Q$9,$R$2:$R$9,,1)</f>
        <v>0 - 5</v>
      </c>
      <c r="G353">
        <v>498.3</v>
      </c>
    </row>
    <row r="354" spans="1:7" x14ac:dyDescent="0.25">
      <c r="A354" t="str">
        <f>_xlfn.XLOOKUP('Raw Data'!A354,$M$2:$M$11,$N$2:$N$11,,1)</f>
        <v>38 - 43</v>
      </c>
      <c r="B354" t="str">
        <f>_xlfn.XLOOKUP('Raw Data'!B354,$Q$2:$Q$9,$R$2:$R$9,,1)</f>
        <v>20 - 25</v>
      </c>
      <c r="C354">
        <v>0</v>
      </c>
      <c r="D354" t="str">
        <f>_xlfn.XLOOKUP('Raw Data'!D354,$V$2:$V$5,$W$2:$W$5,,1)</f>
        <v>11 - 15</v>
      </c>
      <c r="E354">
        <v>1993</v>
      </c>
      <c r="F354" t="str">
        <f>_xlfn.XLOOKUP('Raw Data'!F354,$Q$2:$Q$9,$R$2:$R$9,,1)</f>
        <v>30 - 35</v>
      </c>
      <c r="G354">
        <v>488.75</v>
      </c>
    </row>
    <row r="355" spans="1:7" x14ac:dyDescent="0.25">
      <c r="A355" t="str">
        <f>_xlfn.XLOOKUP('Raw Data'!A355,$M$2:$M$11,$N$2:$N$11,,1)</f>
        <v>43 - 48</v>
      </c>
      <c r="B355" t="str">
        <f>_xlfn.XLOOKUP('Raw Data'!B355,$Q$2:$Q$9,$R$2:$R$9,,1)</f>
        <v>20 - 25</v>
      </c>
      <c r="C355">
        <v>4</v>
      </c>
      <c r="D355" t="str">
        <f>_xlfn.XLOOKUP('Raw Data'!D355,$V$2:$V$5,$W$2:$W$5,,1)</f>
        <v>19 - 23</v>
      </c>
      <c r="E355">
        <v>2007</v>
      </c>
      <c r="F355" t="str">
        <f>_xlfn.XLOOKUP('Raw Data'!F355,$Q$2:$Q$9,$R$2:$R$9,,1)</f>
        <v>15 - 20</v>
      </c>
      <c r="G355">
        <v>492.15</v>
      </c>
    </row>
    <row r="356" spans="1:7" x14ac:dyDescent="0.25">
      <c r="A356" t="str">
        <f>_xlfn.XLOOKUP('Raw Data'!A356,$M$2:$M$11,$N$2:$N$11,,1)</f>
        <v>58 - 63</v>
      </c>
      <c r="B356" t="str">
        <f>_xlfn.XLOOKUP('Raw Data'!B356,$Q$2:$Q$9,$R$2:$R$9,,1)</f>
        <v>25 - 30</v>
      </c>
      <c r="C356">
        <v>4</v>
      </c>
      <c r="D356" t="str">
        <f>_xlfn.XLOOKUP('Raw Data'!D356,$V$2:$V$5,$W$2:$W$5,,1)</f>
        <v>19 - 23</v>
      </c>
      <c r="E356">
        <v>2008</v>
      </c>
      <c r="F356" t="str">
        <f>_xlfn.XLOOKUP('Raw Data'!F356,$Q$2:$Q$9,$R$2:$R$9,,1)</f>
        <v>15 - 20</v>
      </c>
      <c r="G356">
        <v>487.85</v>
      </c>
    </row>
    <row r="357" spans="1:7" x14ac:dyDescent="0.25">
      <c r="A357" t="str">
        <f>_xlfn.XLOOKUP('Raw Data'!A357,$M$2:$M$11,$N$2:$N$11,,1)</f>
        <v>43 - 48</v>
      </c>
      <c r="B357" t="str">
        <f>_xlfn.XLOOKUP('Raw Data'!B357,$Q$2:$Q$9,$R$2:$R$9,,1)</f>
        <v>15 - 20</v>
      </c>
      <c r="C357">
        <v>1</v>
      </c>
      <c r="D357" t="str">
        <f>_xlfn.XLOOKUP('Raw Data'!D357,$V$2:$V$5,$W$2:$W$5,,1)</f>
        <v>23 - 27</v>
      </c>
      <c r="E357">
        <v>2024</v>
      </c>
      <c r="F357" t="str">
        <f>_xlfn.XLOOKUP('Raw Data'!F357,$Q$2:$Q$9,$R$2:$R$9,,1)</f>
        <v>0 - 5</v>
      </c>
      <c r="G357">
        <v>487.25</v>
      </c>
    </row>
    <row r="358" spans="1:7" x14ac:dyDescent="0.25">
      <c r="A358" t="str">
        <f>_xlfn.XLOOKUP('Raw Data'!A358,$M$2:$M$11,$N$2:$N$11,,1)</f>
        <v>48 - 53</v>
      </c>
      <c r="B358" t="str">
        <f>_xlfn.XLOOKUP('Raw Data'!B358,$Q$2:$Q$9,$R$2:$R$9,,1)</f>
        <v>5 - 10</v>
      </c>
      <c r="C358">
        <v>4</v>
      </c>
      <c r="D358" t="str">
        <f>_xlfn.XLOOKUP('Raw Data'!D358,$V$2:$V$5,$W$2:$W$5,,1)</f>
        <v>23 - 27</v>
      </c>
      <c r="E358">
        <v>2003</v>
      </c>
      <c r="F358" t="str">
        <f>_xlfn.XLOOKUP('Raw Data'!F358,$Q$2:$Q$9,$R$2:$R$9,,1)</f>
        <v>20 - 25</v>
      </c>
      <c r="G358">
        <v>496</v>
      </c>
    </row>
    <row r="359" spans="1:7" x14ac:dyDescent="0.25">
      <c r="A359" t="str">
        <f>_xlfn.XLOOKUP('Raw Data'!A359,$M$2:$M$11,$N$2:$N$11,,1)</f>
        <v>48 - 53</v>
      </c>
      <c r="B359" t="str">
        <f>_xlfn.XLOOKUP('Raw Data'!B359,$Q$2:$Q$9,$R$2:$R$9,,1)</f>
        <v>30 - 35</v>
      </c>
      <c r="C359">
        <v>1</v>
      </c>
      <c r="D359" t="str">
        <f>_xlfn.XLOOKUP('Raw Data'!D359,$V$2:$V$5,$W$2:$W$5,,1)</f>
        <v>19 - 23</v>
      </c>
      <c r="E359">
        <v>2022</v>
      </c>
      <c r="F359" t="str">
        <f>_xlfn.XLOOKUP('Raw Data'!F359,$Q$2:$Q$9,$R$2:$R$9,,1)</f>
        <v>0 - 5</v>
      </c>
      <c r="G359">
        <v>483.35</v>
      </c>
    </row>
    <row r="360" spans="1:7" x14ac:dyDescent="0.25">
      <c r="A360" t="str">
        <f>_xlfn.XLOOKUP('Raw Data'!A360,$M$2:$M$11,$N$2:$N$11,,1)</f>
        <v>33 - 38</v>
      </c>
      <c r="B360" t="str">
        <f>_xlfn.XLOOKUP('Raw Data'!B360,$Q$2:$Q$9,$R$2:$R$9,,1)</f>
        <v>5 - 10</v>
      </c>
      <c r="C360">
        <v>3</v>
      </c>
      <c r="D360" t="str">
        <f>_xlfn.XLOOKUP('Raw Data'!D360,$V$2:$V$5,$W$2:$W$5,,1)</f>
        <v>11 - 15</v>
      </c>
      <c r="E360">
        <v>2003</v>
      </c>
      <c r="F360" t="str">
        <f>_xlfn.XLOOKUP('Raw Data'!F360,$Q$2:$Q$9,$R$2:$R$9,,1)</f>
        <v>20 - 25</v>
      </c>
      <c r="G360">
        <v>496.65</v>
      </c>
    </row>
    <row r="361" spans="1:7" x14ac:dyDescent="0.25">
      <c r="A361" t="str">
        <f>_xlfn.XLOOKUP('Raw Data'!A361,$M$2:$M$11,$N$2:$N$11,,1)</f>
        <v>48 - 53</v>
      </c>
      <c r="B361" t="str">
        <f>_xlfn.XLOOKUP('Raw Data'!B361,$Q$2:$Q$9,$R$2:$R$9,,1)</f>
        <v>30 - 35</v>
      </c>
      <c r="C361">
        <v>0</v>
      </c>
      <c r="D361" t="str">
        <f>_xlfn.XLOOKUP('Raw Data'!D361,$V$2:$V$5,$W$2:$W$5,,1)</f>
        <v>15 - 19</v>
      </c>
      <c r="E361">
        <v>2023</v>
      </c>
      <c r="F361" t="str">
        <f>_xlfn.XLOOKUP('Raw Data'!F361,$Q$2:$Q$9,$R$2:$R$9,,1)</f>
        <v>0 - 5</v>
      </c>
      <c r="G361">
        <v>482</v>
      </c>
    </row>
    <row r="362" spans="1:7" x14ac:dyDescent="0.25">
      <c r="A362" t="str">
        <f>_xlfn.XLOOKUP('Raw Data'!A362,$M$2:$M$11,$N$2:$N$11,,1)</f>
        <v>38 - 43</v>
      </c>
      <c r="B362" t="str">
        <f>_xlfn.XLOOKUP('Raw Data'!B362,$Q$2:$Q$9,$R$2:$R$9,,1)</f>
        <v>20 - 25</v>
      </c>
      <c r="C362">
        <v>3</v>
      </c>
      <c r="D362" t="str">
        <f>_xlfn.XLOOKUP('Raw Data'!D362,$V$2:$V$5,$W$2:$W$5,,1)</f>
        <v>19 - 23</v>
      </c>
      <c r="E362">
        <v>1993</v>
      </c>
      <c r="F362" t="str">
        <f>_xlfn.XLOOKUP('Raw Data'!F362,$Q$2:$Q$9,$R$2:$R$9,,1)</f>
        <v>30 - 35</v>
      </c>
      <c r="G362">
        <v>494.2</v>
      </c>
    </row>
    <row r="363" spans="1:7" x14ac:dyDescent="0.25">
      <c r="A363" t="str">
        <f>_xlfn.XLOOKUP('Raw Data'!A363,$M$2:$M$11,$N$2:$N$11,,1)</f>
        <v>48 - 53</v>
      </c>
      <c r="B363" t="str">
        <f>_xlfn.XLOOKUP('Raw Data'!B363,$Q$2:$Q$9,$R$2:$R$9,,1)</f>
        <v>30 - 35</v>
      </c>
      <c r="C363">
        <v>4</v>
      </c>
      <c r="D363" t="str">
        <f>_xlfn.XLOOKUP('Raw Data'!D363,$V$2:$V$5,$W$2:$W$5,,1)</f>
        <v>11 - 15</v>
      </c>
      <c r="E363">
        <v>2013</v>
      </c>
      <c r="F363" t="str">
        <f>_xlfn.XLOOKUP('Raw Data'!F363,$Q$2:$Q$9,$R$2:$R$9,,1)</f>
        <v>10 - 15</v>
      </c>
      <c r="G363">
        <v>488.25</v>
      </c>
    </row>
    <row r="364" spans="1:7" x14ac:dyDescent="0.25">
      <c r="A364" t="str">
        <f>_xlfn.XLOOKUP('Raw Data'!A364,$M$2:$M$11,$N$2:$N$11,,1)</f>
        <v>18 - 23</v>
      </c>
      <c r="B364" t="str">
        <f>_xlfn.XLOOKUP('Raw Data'!B364,$Q$2:$Q$9,$R$2:$R$9,,1)</f>
        <v>0 - 5</v>
      </c>
      <c r="C364">
        <v>3</v>
      </c>
      <c r="D364" t="str">
        <f>_xlfn.XLOOKUP('Raw Data'!D364,$V$2:$V$5,$W$2:$W$5,,1)</f>
        <v>19 - 23</v>
      </c>
      <c r="E364">
        <v>2018</v>
      </c>
      <c r="F364" t="str">
        <f>_xlfn.XLOOKUP('Raw Data'!F364,$Q$2:$Q$9,$R$2:$R$9,,1)</f>
        <v>5 - 10</v>
      </c>
      <c r="G364">
        <v>501.7</v>
      </c>
    </row>
    <row r="365" spans="1:7" x14ac:dyDescent="0.25">
      <c r="A365" t="str">
        <f>_xlfn.XLOOKUP('Raw Data'!A365,$M$2:$M$11,$N$2:$N$11,,1)</f>
        <v>33 - 38</v>
      </c>
      <c r="B365" t="str">
        <f>_xlfn.XLOOKUP('Raw Data'!B365,$Q$2:$Q$9,$R$2:$R$9,,1)</f>
        <v>15 - 20</v>
      </c>
      <c r="C365">
        <v>3</v>
      </c>
      <c r="D365" t="str">
        <f>_xlfn.XLOOKUP('Raw Data'!D365,$V$2:$V$5,$W$2:$W$5,,1)</f>
        <v>15 - 19</v>
      </c>
      <c r="E365">
        <v>2008</v>
      </c>
      <c r="F365" t="str">
        <f>_xlfn.XLOOKUP('Raw Data'!F365,$Q$2:$Q$9,$R$2:$R$9,,1)</f>
        <v>15 - 20</v>
      </c>
      <c r="G365">
        <v>495</v>
      </c>
    </row>
    <row r="366" spans="1:7" x14ac:dyDescent="0.25">
      <c r="A366" t="str">
        <f>_xlfn.XLOOKUP('Raw Data'!A366,$M$2:$M$11,$N$2:$N$11,,1)</f>
        <v>38 - 43</v>
      </c>
      <c r="B366" t="str">
        <f>_xlfn.XLOOKUP('Raw Data'!B366,$Q$2:$Q$9,$R$2:$R$9,,1)</f>
        <v>20 - 25</v>
      </c>
      <c r="C366">
        <v>3</v>
      </c>
      <c r="D366" t="str">
        <f>_xlfn.XLOOKUP('Raw Data'!D366,$V$2:$V$5,$W$2:$W$5,,1)</f>
        <v>15 - 19</v>
      </c>
      <c r="E366">
        <v>1995</v>
      </c>
      <c r="F366" t="str">
        <f>_xlfn.XLOOKUP('Raw Data'!F366,$Q$2:$Q$9,$R$2:$R$9,,1)</f>
        <v>25 - 30</v>
      </c>
      <c r="G366">
        <v>493.1</v>
      </c>
    </row>
    <row r="367" spans="1:7" x14ac:dyDescent="0.25">
      <c r="A367" t="str">
        <f>_xlfn.XLOOKUP('Raw Data'!A367,$M$2:$M$11,$N$2:$N$11,,1)</f>
        <v>58 - 63</v>
      </c>
      <c r="B367" t="str">
        <f>_xlfn.XLOOKUP('Raw Data'!B367,$Q$2:$Q$9,$R$2:$R$9,,1)</f>
        <v>20 - 25</v>
      </c>
      <c r="C367">
        <v>4</v>
      </c>
      <c r="D367" t="str">
        <f>_xlfn.XLOOKUP('Raw Data'!D367,$V$2:$V$5,$W$2:$W$5,,1)</f>
        <v>19 - 23</v>
      </c>
      <c r="E367">
        <v>2022</v>
      </c>
      <c r="F367" t="str">
        <f>_xlfn.XLOOKUP('Raw Data'!F367,$Q$2:$Q$9,$R$2:$R$9,,1)</f>
        <v>0 - 5</v>
      </c>
      <c r="G367">
        <v>489.35</v>
      </c>
    </row>
    <row r="368" spans="1:7" x14ac:dyDescent="0.25">
      <c r="A368" t="str">
        <f>_xlfn.XLOOKUP('Raw Data'!A368,$M$2:$M$11,$N$2:$N$11,,1)</f>
        <v>43 - 48</v>
      </c>
      <c r="B368" t="str">
        <f>_xlfn.XLOOKUP('Raw Data'!B368,$Q$2:$Q$9,$R$2:$R$9,,1)</f>
        <v>0 - 5</v>
      </c>
      <c r="C368">
        <v>5</v>
      </c>
      <c r="D368" t="str">
        <f>_xlfn.XLOOKUP('Raw Data'!D368,$V$2:$V$5,$W$2:$W$5,,1)</f>
        <v>11 - 15</v>
      </c>
      <c r="E368">
        <v>2008</v>
      </c>
      <c r="F368" t="str">
        <f>_xlfn.XLOOKUP('Raw Data'!F368,$Q$2:$Q$9,$R$2:$R$9,,1)</f>
        <v>15 - 20</v>
      </c>
      <c r="G368">
        <v>499.15</v>
      </c>
    </row>
    <row r="369" spans="1:7" x14ac:dyDescent="0.25">
      <c r="A369" t="str">
        <f>_xlfn.XLOOKUP('Raw Data'!A369,$M$2:$M$11,$N$2:$N$11,,1)</f>
        <v>18 - 23</v>
      </c>
      <c r="B369" t="str">
        <f>_xlfn.XLOOKUP('Raw Data'!B369,$Q$2:$Q$9,$R$2:$R$9,,1)</f>
        <v>0 - 5</v>
      </c>
      <c r="C369">
        <v>3</v>
      </c>
      <c r="D369" t="str">
        <f>_xlfn.XLOOKUP('Raw Data'!D369,$V$2:$V$5,$W$2:$W$5,,1)</f>
        <v>19 - 23</v>
      </c>
      <c r="E369">
        <v>1990</v>
      </c>
      <c r="F369" t="str">
        <f>_xlfn.XLOOKUP('Raw Data'!F369,$Q$2:$Q$9,$R$2:$R$9,,1)</f>
        <v>30 - 35</v>
      </c>
      <c r="G369">
        <v>504.55</v>
      </c>
    </row>
    <row r="370" spans="1:7" x14ac:dyDescent="0.25">
      <c r="A370" t="str">
        <f>_xlfn.XLOOKUP('Raw Data'!A370,$M$2:$M$11,$N$2:$N$11,,1)</f>
        <v>53 - 58</v>
      </c>
      <c r="B370" t="str">
        <f>_xlfn.XLOOKUP('Raw Data'!B370,$Q$2:$Q$9,$R$2:$R$9,,1)</f>
        <v>30 - 35</v>
      </c>
      <c r="C370">
        <v>1</v>
      </c>
      <c r="D370" t="str">
        <f>_xlfn.XLOOKUP('Raw Data'!D370,$V$2:$V$5,$W$2:$W$5,,1)</f>
        <v>19 - 23</v>
      </c>
      <c r="E370">
        <v>1994</v>
      </c>
      <c r="F370" t="str">
        <f>_xlfn.XLOOKUP('Raw Data'!F370,$Q$2:$Q$9,$R$2:$R$9,,1)</f>
        <v>30 - 35</v>
      </c>
      <c r="G370">
        <v>483.8</v>
      </c>
    </row>
    <row r="371" spans="1:7" x14ac:dyDescent="0.25">
      <c r="A371" t="str">
        <f>_xlfn.XLOOKUP('Raw Data'!A371,$M$2:$M$11,$N$2:$N$11,,1)</f>
        <v>58 - 63</v>
      </c>
      <c r="B371" t="str">
        <f>_xlfn.XLOOKUP('Raw Data'!B371,$Q$2:$Q$9,$R$2:$R$9,,1)</f>
        <v>15 - 20</v>
      </c>
      <c r="C371">
        <v>4</v>
      </c>
      <c r="D371" t="str">
        <f>_xlfn.XLOOKUP('Raw Data'!D371,$V$2:$V$5,$W$2:$W$5,,1)</f>
        <v>19 - 23</v>
      </c>
      <c r="E371">
        <v>2016</v>
      </c>
      <c r="F371" t="str">
        <f>_xlfn.XLOOKUP('Raw Data'!F371,$Q$2:$Q$9,$R$2:$R$9,,1)</f>
        <v>5 - 10</v>
      </c>
      <c r="G371">
        <v>489.75</v>
      </c>
    </row>
    <row r="372" spans="1:7" x14ac:dyDescent="0.25">
      <c r="A372" t="str">
        <f>_xlfn.XLOOKUP('Raw Data'!A372,$M$2:$M$11,$N$2:$N$11,,1)</f>
        <v>38 - 43</v>
      </c>
      <c r="B372" t="str">
        <f>_xlfn.XLOOKUP('Raw Data'!B372,$Q$2:$Q$9,$R$2:$R$9,,1)</f>
        <v>15 - 20</v>
      </c>
      <c r="C372">
        <v>3</v>
      </c>
      <c r="D372" t="str">
        <f>_xlfn.XLOOKUP('Raw Data'!D372,$V$2:$V$5,$W$2:$W$5,,1)</f>
        <v>11 - 15</v>
      </c>
      <c r="E372">
        <v>2005</v>
      </c>
      <c r="F372" t="str">
        <f>_xlfn.XLOOKUP('Raw Data'!F372,$Q$2:$Q$9,$R$2:$R$9,,1)</f>
        <v>15 - 20</v>
      </c>
      <c r="G372">
        <v>493.45</v>
      </c>
    </row>
    <row r="373" spans="1:7" x14ac:dyDescent="0.25">
      <c r="A373" t="str">
        <f>_xlfn.XLOOKUP('Raw Data'!A373,$M$2:$M$11,$N$2:$N$11,,1)</f>
        <v>48 - 53</v>
      </c>
      <c r="B373" t="str">
        <f>_xlfn.XLOOKUP('Raw Data'!B373,$Q$2:$Q$9,$R$2:$R$9,,1)</f>
        <v>30 - 35</v>
      </c>
      <c r="C373">
        <v>5</v>
      </c>
      <c r="D373" t="str">
        <f>_xlfn.XLOOKUP('Raw Data'!D373,$V$2:$V$5,$W$2:$W$5,,1)</f>
        <v>19 - 23</v>
      </c>
      <c r="E373">
        <v>1995</v>
      </c>
      <c r="F373" t="str">
        <f>_xlfn.XLOOKUP('Raw Data'!F373,$Q$2:$Q$9,$R$2:$R$9,,1)</f>
        <v>25 - 30</v>
      </c>
      <c r="G373">
        <v>492.55</v>
      </c>
    </row>
    <row r="374" spans="1:7" x14ac:dyDescent="0.25">
      <c r="A374" t="str">
        <f>_xlfn.XLOOKUP('Raw Data'!A374,$M$2:$M$11,$N$2:$N$11,,1)</f>
        <v>63 - 68</v>
      </c>
      <c r="B374" t="str">
        <f>_xlfn.XLOOKUP('Raw Data'!B374,$Q$2:$Q$9,$R$2:$R$9,,1)</f>
        <v>15 - 20</v>
      </c>
      <c r="C374">
        <v>4</v>
      </c>
      <c r="D374" t="str">
        <f>_xlfn.XLOOKUP('Raw Data'!D374,$V$2:$V$5,$W$2:$W$5,,1)</f>
        <v>19 - 23</v>
      </c>
      <c r="E374">
        <v>2002</v>
      </c>
      <c r="F374" t="str">
        <f>_xlfn.XLOOKUP('Raw Data'!F374,$Q$2:$Q$9,$R$2:$R$9,,1)</f>
        <v>20 - 25</v>
      </c>
      <c r="G374">
        <v>491.7</v>
      </c>
    </row>
    <row r="375" spans="1:7" x14ac:dyDescent="0.25">
      <c r="A375" t="str">
        <f>_xlfn.XLOOKUP('Raw Data'!A375,$M$2:$M$11,$N$2:$N$11,,1)</f>
        <v>38 - 43</v>
      </c>
      <c r="B375" t="str">
        <f>_xlfn.XLOOKUP('Raw Data'!B375,$Q$2:$Q$9,$R$2:$R$9,,1)</f>
        <v>20 - 25</v>
      </c>
      <c r="C375">
        <v>2</v>
      </c>
      <c r="D375" t="str">
        <f>_xlfn.XLOOKUP('Raw Data'!D375,$V$2:$V$5,$W$2:$W$5,,1)</f>
        <v>15 - 19</v>
      </c>
      <c r="E375">
        <v>2024</v>
      </c>
      <c r="F375" t="str">
        <f>_xlfn.XLOOKUP('Raw Data'!F375,$Q$2:$Q$9,$R$2:$R$9,,1)</f>
        <v>0 - 5</v>
      </c>
      <c r="G375">
        <v>489.85</v>
      </c>
    </row>
    <row r="376" spans="1:7" x14ac:dyDescent="0.25">
      <c r="A376" t="str">
        <f>_xlfn.XLOOKUP('Raw Data'!A376,$M$2:$M$11,$N$2:$N$11,,1)</f>
        <v>38 - 43</v>
      </c>
      <c r="B376" t="str">
        <f>_xlfn.XLOOKUP('Raw Data'!B376,$Q$2:$Q$9,$R$2:$R$9,,1)</f>
        <v>5 - 10</v>
      </c>
      <c r="C376">
        <v>5</v>
      </c>
      <c r="D376" t="str">
        <f>_xlfn.XLOOKUP('Raw Data'!D376,$V$2:$V$5,$W$2:$W$5,,1)</f>
        <v>19 - 23</v>
      </c>
      <c r="E376">
        <v>2008</v>
      </c>
      <c r="F376" t="str">
        <f>_xlfn.XLOOKUP('Raw Data'!F376,$Q$2:$Q$9,$R$2:$R$9,,1)</f>
        <v>15 - 20</v>
      </c>
      <c r="G376">
        <v>499.9</v>
      </c>
    </row>
    <row r="377" spans="1:7" x14ac:dyDescent="0.25">
      <c r="A377" t="str">
        <f>_xlfn.XLOOKUP('Raw Data'!A377,$M$2:$M$11,$N$2:$N$11,,1)</f>
        <v>18 - 23</v>
      </c>
      <c r="B377" t="str">
        <f>_xlfn.XLOOKUP('Raw Data'!B377,$Q$2:$Q$9,$R$2:$R$9,,1)</f>
        <v>0 - 5</v>
      </c>
      <c r="C377">
        <v>1</v>
      </c>
      <c r="D377" t="str">
        <f>_xlfn.XLOOKUP('Raw Data'!D377,$V$2:$V$5,$W$2:$W$5,,1)</f>
        <v>19 - 23</v>
      </c>
      <c r="E377">
        <v>2001</v>
      </c>
      <c r="F377" t="str">
        <f>_xlfn.XLOOKUP('Raw Data'!F377,$Q$2:$Q$9,$R$2:$R$9,,1)</f>
        <v>20 - 25</v>
      </c>
      <c r="G377">
        <v>500.8</v>
      </c>
    </row>
    <row r="378" spans="1:7" x14ac:dyDescent="0.25">
      <c r="A378" t="str">
        <f>_xlfn.XLOOKUP('Raw Data'!A378,$M$2:$M$11,$N$2:$N$11,,1)</f>
        <v>43 - 48</v>
      </c>
      <c r="B378" t="str">
        <f>_xlfn.XLOOKUP('Raw Data'!B378,$Q$2:$Q$9,$R$2:$R$9,,1)</f>
        <v>0 - 5</v>
      </c>
      <c r="C378">
        <v>3</v>
      </c>
      <c r="D378" t="str">
        <f>_xlfn.XLOOKUP('Raw Data'!D378,$V$2:$V$5,$W$2:$W$5,,1)</f>
        <v>11 - 15</v>
      </c>
      <c r="E378">
        <v>2005</v>
      </c>
      <c r="F378" t="str">
        <f>_xlfn.XLOOKUP('Raw Data'!F378,$Q$2:$Q$9,$R$2:$R$9,,1)</f>
        <v>15 - 20</v>
      </c>
      <c r="G378">
        <v>498.15</v>
      </c>
    </row>
    <row r="379" spans="1:7" x14ac:dyDescent="0.25">
      <c r="A379" t="str">
        <f>_xlfn.XLOOKUP('Raw Data'!A379,$M$2:$M$11,$N$2:$N$11,,1)</f>
        <v>58 - 63</v>
      </c>
      <c r="B379" t="str">
        <f>_xlfn.XLOOKUP('Raw Data'!B379,$Q$2:$Q$9,$R$2:$R$9,,1)</f>
        <v>5 - 10</v>
      </c>
      <c r="C379">
        <v>2</v>
      </c>
      <c r="D379" t="str">
        <f>_xlfn.XLOOKUP('Raw Data'!D379,$V$2:$V$5,$W$2:$W$5,,1)</f>
        <v>15 - 19</v>
      </c>
      <c r="E379">
        <v>1999</v>
      </c>
      <c r="F379" t="str">
        <f>_xlfn.XLOOKUP('Raw Data'!F379,$Q$2:$Q$9,$R$2:$R$9,,1)</f>
        <v>25 - 30</v>
      </c>
      <c r="G379">
        <v>492.3</v>
      </c>
    </row>
    <row r="380" spans="1:7" x14ac:dyDescent="0.25">
      <c r="A380" t="str">
        <f>_xlfn.XLOOKUP('Raw Data'!A380,$M$2:$M$11,$N$2:$N$11,,1)</f>
        <v>18 - 23</v>
      </c>
      <c r="B380" t="str">
        <f>_xlfn.XLOOKUP('Raw Data'!B380,$Q$2:$Q$9,$R$2:$R$9,,1)</f>
        <v>0 - 5</v>
      </c>
      <c r="C380">
        <v>2</v>
      </c>
      <c r="D380" t="str">
        <f>_xlfn.XLOOKUP('Raw Data'!D380,$V$2:$V$5,$W$2:$W$5,,1)</f>
        <v>15 - 19</v>
      </c>
      <c r="E380">
        <v>2014</v>
      </c>
      <c r="F380" t="str">
        <f>_xlfn.XLOOKUP('Raw Data'!F380,$Q$2:$Q$9,$R$2:$R$9,,1)</f>
        <v>10 - 15</v>
      </c>
      <c r="G380">
        <v>500.95</v>
      </c>
    </row>
    <row r="381" spans="1:7" x14ac:dyDescent="0.25">
      <c r="A381" t="str">
        <f>_xlfn.XLOOKUP('Raw Data'!A381,$M$2:$M$11,$N$2:$N$11,,1)</f>
        <v>38 - 43</v>
      </c>
      <c r="B381" t="str">
        <f>_xlfn.XLOOKUP('Raw Data'!B381,$Q$2:$Q$9,$R$2:$R$9,,1)</f>
        <v>20 - 25</v>
      </c>
      <c r="C381">
        <v>4</v>
      </c>
      <c r="D381" t="str">
        <f>_xlfn.XLOOKUP('Raw Data'!D381,$V$2:$V$5,$W$2:$W$5,,1)</f>
        <v>19 - 23</v>
      </c>
      <c r="E381">
        <v>2009</v>
      </c>
      <c r="F381" t="str">
        <f>_xlfn.XLOOKUP('Raw Data'!F381,$Q$2:$Q$9,$R$2:$R$9,,1)</f>
        <v>15 - 20</v>
      </c>
      <c r="G381">
        <v>492.55</v>
      </c>
    </row>
    <row r="382" spans="1:7" x14ac:dyDescent="0.25">
      <c r="A382" t="str">
        <f>_xlfn.XLOOKUP('Raw Data'!A382,$M$2:$M$11,$N$2:$N$11,,1)</f>
        <v>33 - 38</v>
      </c>
      <c r="B382" t="str">
        <f>_xlfn.XLOOKUP('Raw Data'!B382,$Q$2:$Q$9,$R$2:$R$9,,1)</f>
        <v>15 - 20</v>
      </c>
      <c r="C382">
        <v>2</v>
      </c>
      <c r="D382" t="str">
        <f>_xlfn.XLOOKUP('Raw Data'!D382,$V$2:$V$5,$W$2:$W$5,,1)</f>
        <v>23 - 27</v>
      </c>
      <c r="E382">
        <v>2020</v>
      </c>
      <c r="F382" t="str">
        <f>_xlfn.XLOOKUP('Raw Data'!F382,$Q$2:$Q$9,$R$2:$R$9,,1)</f>
        <v>0 - 5</v>
      </c>
      <c r="G382">
        <v>493.1</v>
      </c>
    </row>
    <row r="383" spans="1:7" x14ac:dyDescent="0.25">
      <c r="A383" t="str">
        <f>_xlfn.XLOOKUP('Raw Data'!A383,$M$2:$M$11,$N$2:$N$11,,1)</f>
        <v>53 - 58</v>
      </c>
      <c r="B383" t="str">
        <f>_xlfn.XLOOKUP('Raw Data'!B383,$Q$2:$Q$9,$R$2:$R$9,,1)</f>
        <v>0 - 5</v>
      </c>
      <c r="C383">
        <v>1</v>
      </c>
      <c r="D383" t="str">
        <f>_xlfn.XLOOKUP('Raw Data'!D383,$V$2:$V$5,$W$2:$W$5,,1)</f>
        <v>15 - 19</v>
      </c>
      <c r="E383">
        <v>1993</v>
      </c>
      <c r="F383" t="str">
        <f>_xlfn.XLOOKUP('Raw Data'!F383,$Q$2:$Q$9,$R$2:$R$9,,1)</f>
        <v>30 - 35</v>
      </c>
      <c r="G383">
        <v>494.15</v>
      </c>
    </row>
    <row r="384" spans="1:7" x14ac:dyDescent="0.25">
      <c r="A384" t="str">
        <f>_xlfn.XLOOKUP('Raw Data'!A384,$M$2:$M$11,$N$2:$N$11,,1)</f>
        <v>48 - 53</v>
      </c>
      <c r="B384" t="str">
        <f>_xlfn.XLOOKUP('Raw Data'!B384,$Q$2:$Q$9,$R$2:$R$9,,1)</f>
        <v>20 - 25</v>
      </c>
      <c r="C384">
        <v>1</v>
      </c>
      <c r="D384" t="str">
        <f>_xlfn.XLOOKUP('Raw Data'!D384,$V$2:$V$5,$W$2:$W$5,,1)</f>
        <v>23 - 27</v>
      </c>
      <c r="E384">
        <v>2012</v>
      </c>
      <c r="F384" t="str">
        <f>_xlfn.XLOOKUP('Raw Data'!F384,$Q$2:$Q$9,$R$2:$R$9,,1)</f>
        <v>10 - 15</v>
      </c>
      <c r="G384">
        <v>486.8</v>
      </c>
    </row>
    <row r="385" spans="1:7" x14ac:dyDescent="0.25">
      <c r="A385" t="str">
        <f>_xlfn.XLOOKUP('Raw Data'!A385,$M$2:$M$11,$N$2:$N$11,,1)</f>
        <v>23 - 28</v>
      </c>
      <c r="B385" t="str">
        <f>_xlfn.XLOOKUP('Raw Data'!B385,$Q$2:$Q$9,$R$2:$R$9,,1)</f>
        <v>5 - 10</v>
      </c>
      <c r="C385">
        <v>0</v>
      </c>
      <c r="D385" t="str">
        <f>_xlfn.XLOOKUP('Raw Data'!D385,$V$2:$V$5,$W$2:$W$5,,1)</f>
        <v>19 - 23</v>
      </c>
      <c r="E385">
        <v>1991</v>
      </c>
      <c r="F385" t="str">
        <f>_xlfn.XLOOKUP('Raw Data'!F385,$Q$2:$Q$9,$R$2:$R$9,,1)</f>
        <v>30 - 35</v>
      </c>
      <c r="G385">
        <v>496.95</v>
      </c>
    </row>
    <row r="386" spans="1:7" x14ac:dyDescent="0.25">
      <c r="A386" t="str">
        <f>_xlfn.XLOOKUP('Raw Data'!A386,$M$2:$M$11,$N$2:$N$11,,1)</f>
        <v>58 - 63</v>
      </c>
      <c r="B386" t="str">
        <f>_xlfn.XLOOKUP('Raw Data'!B386,$Q$2:$Q$9,$R$2:$R$9,,1)</f>
        <v>20 - 25</v>
      </c>
      <c r="C386">
        <v>1</v>
      </c>
      <c r="D386" t="str">
        <f>_xlfn.XLOOKUP('Raw Data'!D386,$V$2:$V$5,$W$2:$W$5,,1)</f>
        <v>23 - 27</v>
      </c>
      <c r="E386">
        <v>2011</v>
      </c>
      <c r="F386" t="str">
        <f>_xlfn.XLOOKUP('Raw Data'!F386,$Q$2:$Q$9,$R$2:$R$9,,1)</f>
        <v>10 - 15</v>
      </c>
      <c r="G386">
        <v>484.95</v>
      </c>
    </row>
    <row r="387" spans="1:7" x14ac:dyDescent="0.25">
      <c r="A387" t="str">
        <f>_xlfn.XLOOKUP('Raw Data'!A387,$M$2:$M$11,$N$2:$N$11,,1)</f>
        <v>63 - 68</v>
      </c>
      <c r="B387" t="str">
        <f>_xlfn.XLOOKUP('Raw Data'!B387,$Q$2:$Q$9,$R$2:$R$9,,1)</f>
        <v>35 - 40</v>
      </c>
      <c r="C387">
        <v>5</v>
      </c>
      <c r="D387" t="str">
        <f>_xlfn.XLOOKUP('Raw Data'!D387,$V$2:$V$5,$W$2:$W$5,,1)</f>
        <v>15 - 19</v>
      </c>
      <c r="E387">
        <v>1997</v>
      </c>
      <c r="F387" t="str">
        <f>_xlfn.XLOOKUP('Raw Data'!F387,$Q$2:$Q$9,$R$2:$R$9,,1)</f>
        <v>25 - 30</v>
      </c>
      <c r="G387">
        <v>486.75</v>
      </c>
    </row>
    <row r="388" spans="1:7" x14ac:dyDescent="0.25">
      <c r="A388" t="str">
        <f>_xlfn.XLOOKUP('Raw Data'!A388,$M$2:$M$11,$N$2:$N$11,,1)</f>
        <v>53 - 58</v>
      </c>
      <c r="B388" t="str">
        <f>_xlfn.XLOOKUP('Raw Data'!B388,$Q$2:$Q$9,$R$2:$R$9,,1)</f>
        <v>30 - 35</v>
      </c>
      <c r="C388">
        <v>2</v>
      </c>
      <c r="D388" t="str">
        <f>_xlfn.XLOOKUP('Raw Data'!D388,$V$2:$V$5,$W$2:$W$5,,1)</f>
        <v>11 - 15</v>
      </c>
      <c r="E388">
        <v>1996</v>
      </c>
      <c r="F388" t="str">
        <f>_xlfn.XLOOKUP('Raw Data'!F388,$Q$2:$Q$9,$R$2:$R$9,,1)</f>
        <v>25 - 30</v>
      </c>
      <c r="G388">
        <v>485.05</v>
      </c>
    </row>
    <row r="389" spans="1:7" x14ac:dyDescent="0.25">
      <c r="A389" t="str">
        <f>_xlfn.XLOOKUP('Raw Data'!A389,$M$2:$M$11,$N$2:$N$11,,1)</f>
        <v>43 - 48</v>
      </c>
      <c r="B389" t="str">
        <f>_xlfn.XLOOKUP('Raw Data'!B389,$Q$2:$Q$9,$R$2:$R$9,,1)</f>
        <v>0 - 5</v>
      </c>
      <c r="C389">
        <v>1</v>
      </c>
      <c r="D389" t="str">
        <f>_xlfn.XLOOKUP('Raw Data'!D389,$V$2:$V$5,$W$2:$W$5,,1)</f>
        <v>23 - 27</v>
      </c>
      <c r="E389">
        <v>2003</v>
      </c>
      <c r="F389" t="str">
        <f>_xlfn.XLOOKUP('Raw Data'!F389,$Q$2:$Q$9,$R$2:$R$9,,1)</f>
        <v>20 - 25</v>
      </c>
      <c r="G389">
        <v>495.15</v>
      </c>
    </row>
    <row r="390" spans="1:7" x14ac:dyDescent="0.25">
      <c r="A390" t="str">
        <f>_xlfn.XLOOKUP('Raw Data'!A390,$M$2:$M$11,$N$2:$N$11,,1)</f>
        <v>58 - 63</v>
      </c>
      <c r="B390" t="str">
        <f>_xlfn.XLOOKUP('Raw Data'!B390,$Q$2:$Q$9,$R$2:$R$9,,1)</f>
        <v>35 - 40</v>
      </c>
      <c r="C390">
        <v>4</v>
      </c>
      <c r="D390" t="str">
        <f>_xlfn.XLOOKUP('Raw Data'!D390,$V$2:$V$5,$W$2:$W$5,,1)</f>
        <v>11 - 15</v>
      </c>
      <c r="E390">
        <v>1992</v>
      </c>
      <c r="F390" t="str">
        <f>_xlfn.XLOOKUP('Raw Data'!F390,$Q$2:$Q$9,$R$2:$R$9,,1)</f>
        <v>30 - 35</v>
      </c>
      <c r="G390">
        <v>487.4</v>
      </c>
    </row>
    <row r="391" spans="1:7" x14ac:dyDescent="0.25">
      <c r="A391" t="str">
        <f>_xlfn.XLOOKUP('Raw Data'!A391,$M$2:$M$11,$N$2:$N$11,,1)</f>
        <v>38 - 43</v>
      </c>
      <c r="B391" t="str">
        <f>_xlfn.XLOOKUP('Raw Data'!B391,$Q$2:$Q$9,$R$2:$R$9,,1)</f>
        <v>20 - 25</v>
      </c>
      <c r="C391">
        <v>0</v>
      </c>
      <c r="D391" t="str">
        <f>_xlfn.XLOOKUP('Raw Data'!D391,$V$2:$V$5,$W$2:$W$5,,1)</f>
        <v>11 - 15</v>
      </c>
      <c r="E391">
        <v>2005</v>
      </c>
      <c r="F391" t="str">
        <f>_xlfn.XLOOKUP('Raw Data'!F391,$Q$2:$Q$9,$R$2:$R$9,,1)</f>
        <v>15 - 20</v>
      </c>
      <c r="G391">
        <v>486.5</v>
      </c>
    </row>
    <row r="392" spans="1:7" x14ac:dyDescent="0.25">
      <c r="A392" t="str">
        <f>_xlfn.XLOOKUP('Raw Data'!A392,$M$2:$M$11,$N$2:$N$11,,1)</f>
        <v>48 - 53</v>
      </c>
      <c r="B392" t="str">
        <f>_xlfn.XLOOKUP('Raw Data'!B392,$Q$2:$Q$9,$R$2:$R$9,,1)</f>
        <v>30 - 35</v>
      </c>
      <c r="C392">
        <v>2</v>
      </c>
      <c r="D392" t="str">
        <f>_xlfn.XLOOKUP('Raw Data'!D392,$V$2:$V$5,$W$2:$W$5,,1)</f>
        <v>11 - 15</v>
      </c>
      <c r="E392">
        <v>2008</v>
      </c>
      <c r="F392" t="str">
        <f>_xlfn.XLOOKUP('Raw Data'!F392,$Q$2:$Q$9,$R$2:$R$9,,1)</f>
        <v>15 - 20</v>
      </c>
      <c r="G392">
        <v>484.7</v>
      </c>
    </row>
    <row r="393" spans="1:7" x14ac:dyDescent="0.25">
      <c r="A393" t="str">
        <f>_xlfn.XLOOKUP('Raw Data'!A393,$M$2:$M$11,$N$2:$N$11,,1)</f>
        <v>38 - 43</v>
      </c>
      <c r="B393" t="str">
        <f>_xlfn.XLOOKUP('Raw Data'!B393,$Q$2:$Q$9,$R$2:$R$9,,1)</f>
        <v>20 - 25</v>
      </c>
      <c r="C393">
        <v>0</v>
      </c>
      <c r="D393" t="str">
        <f>_xlfn.XLOOKUP('Raw Data'!D393,$V$2:$V$5,$W$2:$W$5,,1)</f>
        <v>11 - 15</v>
      </c>
      <c r="E393">
        <v>2007</v>
      </c>
      <c r="F393" t="str">
        <f>_xlfn.XLOOKUP('Raw Data'!F393,$Q$2:$Q$9,$R$2:$R$9,,1)</f>
        <v>15 - 20</v>
      </c>
      <c r="G393">
        <v>486.8</v>
      </c>
    </row>
    <row r="394" spans="1:7" x14ac:dyDescent="0.25">
      <c r="A394" t="str">
        <f>_xlfn.XLOOKUP('Raw Data'!A394,$M$2:$M$11,$N$2:$N$11,,1)</f>
        <v>38 - 43</v>
      </c>
      <c r="B394" t="str">
        <f>_xlfn.XLOOKUP('Raw Data'!B394,$Q$2:$Q$9,$R$2:$R$9,,1)</f>
        <v>10 - 15</v>
      </c>
      <c r="C394">
        <v>2</v>
      </c>
      <c r="D394" t="str">
        <f>_xlfn.XLOOKUP('Raw Data'!D394,$V$2:$V$5,$W$2:$W$5,,1)</f>
        <v>11 - 15</v>
      </c>
      <c r="E394">
        <v>2005</v>
      </c>
      <c r="F394" t="str">
        <f>_xlfn.XLOOKUP('Raw Data'!F394,$Q$2:$Q$9,$R$2:$R$9,,1)</f>
        <v>15 - 20</v>
      </c>
      <c r="G394">
        <v>494.2</v>
      </c>
    </row>
    <row r="395" spans="1:7" x14ac:dyDescent="0.25">
      <c r="A395" t="str">
        <f>_xlfn.XLOOKUP('Raw Data'!A395,$M$2:$M$11,$N$2:$N$11,,1)</f>
        <v>28 - 33</v>
      </c>
      <c r="B395" t="str">
        <f>_xlfn.XLOOKUP('Raw Data'!B395,$Q$2:$Q$9,$R$2:$R$9,,1)</f>
        <v>10 - 15</v>
      </c>
      <c r="C395">
        <v>4</v>
      </c>
      <c r="D395" t="str">
        <f>_xlfn.XLOOKUP('Raw Data'!D395,$V$2:$V$5,$W$2:$W$5,,1)</f>
        <v>23 - 27</v>
      </c>
      <c r="E395">
        <v>1997</v>
      </c>
      <c r="F395" t="str">
        <f>_xlfn.XLOOKUP('Raw Data'!F395,$Q$2:$Q$9,$R$2:$R$9,,1)</f>
        <v>25 - 30</v>
      </c>
      <c r="G395">
        <v>500.4</v>
      </c>
    </row>
    <row r="396" spans="1:7" x14ac:dyDescent="0.25">
      <c r="A396" t="str">
        <f>_xlfn.XLOOKUP('Raw Data'!A396,$M$2:$M$11,$N$2:$N$11,,1)</f>
        <v>23 - 28</v>
      </c>
      <c r="B396" t="str">
        <f>_xlfn.XLOOKUP('Raw Data'!B396,$Q$2:$Q$9,$R$2:$R$9,,1)</f>
        <v>5 - 10</v>
      </c>
      <c r="C396">
        <v>0</v>
      </c>
      <c r="D396" t="str">
        <f>_xlfn.XLOOKUP('Raw Data'!D396,$V$2:$V$5,$W$2:$W$5,,1)</f>
        <v>11 - 15</v>
      </c>
      <c r="E396">
        <v>2022</v>
      </c>
      <c r="F396" t="str">
        <f>_xlfn.XLOOKUP('Raw Data'!F396,$Q$2:$Q$9,$R$2:$R$9,,1)</f>
        <v>0 - 5</v>
      </c>
      <c r="G396">
        <v>494.25</v>
      </c>
    </row>
    <row r="397" spans="1:7" x14ac:dyDescent="0.25">
      <c r="A397" t="str">
        <f>_xlfn.XLOOKUP('Raw Data'!A397,$M$2:$M$11,$N$2:$N$11,,1)</f>
        <v>48 - 53</v>
      </c>
      <c r="B397" t="str">
        <f>_xlfn.XLOOKUP('Raw Data'!B397,$Q$2:$Q$9,$R$2:$R$9,,1)</f>
        <v>15 - 20</v>
      </c>
      <c r="C397">
        <v>3</v>
      </c>
      <c r="D397" t="str">
        <f>_xlfn.XLOOKUP('Raw Data'!D397,$V$2:$V$5,$W$2:$W$5,,1)</f>
        <v>23 - 27</v>
      </c>
      <c r="E397">
        <v>2001</v>
      </c>
      <c r="F397" t="str">
        <f>_xlfn.XLOOKUP('Raw Data'!F397,$Q$2:$Q$9,$R$2:$R$9,,1)</f>
        <v>20 - 25</v>
      </c>
      <c r="G397">
        <v>492.75</v>
      </c>
    </row>
    <row r="398" spans="1:7" x14ac:dyDescent="0.25">
      <c r="A398" t="str">
        <f>_xlfn.XLOOKUP('Raw Data'!A398,$M$2:$M$11,$N$2:$N$11,,1)</f>
        <v>58 - 63</v>
      </c>
      <c r="B398" t="str">
        <f>_xlfn.XLOOKUP('Raw Data'!B398,$Q$2:$Q$9,$R$2:$R$9,,1)</f>
        <v>5 - 10</v>
      </c>
      <c r="C398">
        <v>5</v>
      </c>
      <c r="D398" t="str">
        <f>_xlfn.XLOOKUP('Raw Data'!D398,$V$2:$V$5,$W$2:$W$5,,1)</f>
        <v>11 - 15</v>
      </c>
      <c r="E398">
        <v>2000</v>
      </c>
      <c r="F398" t="str">
        <f>_xlfn.XLOOKUP('Raw Data'!F398,$Q$2:$Q$9,$R$2:$R$9,,1)</f>
        <v>20 - 25</v>
      </c>
      <c r="G398">
        <v>495.6</v>
      </c>
    </row>
    <row r="399" spans="1:7" x14ac:dyDescent="0.25">
      <c r="A399" t="str">
        <f>_xlfn.XLOOKUP('Raw Data'!A399,$M$2:$M$11,$N$2:$N$11,,1)</f>
        <v>33 - 38</v>
      </c>
      <c r="B399" t="str">
        <f>_xlfn.XLOOKUP('Raw Data'!B399,$Q$2:$Q$9,$R$2:$R$9,,1)</f>
        <v>10 - 15</v>
      </c>
      <c r="C399">
        <v>5</v>
      </c>
      <c r="D399" t="str">
        <f>_xlfn.XLOOKUP('Raw Data'!D399,$V$2:$V$5,$W$2:$W$5,,1)</f>
        <v>11 - 15</v>
      </c>
      <c r="E399">
        <v>1994</v>
      </c>
      <c r="F399" t="str">
        <f>_xlfn.XLOOKUP('Raw Data'!F399,$Q$2:$Q$9,$R$2:$R$9,,1)</f>
        <v>30 - 35</v>
      </c>
      <c r="G399">
        <v>500.5</v>
      </c>
    </row>
    <row r="400" spans="1:7" x14ac:dyDescent="0.25">
      <c r="A400" t="str">
        <f>_xlfn.XLOOKUP('Raw Data'!A400,$M$2:$M$11,$N$2:$N$11,,1)</f>
        <v>18 - 23</v>
      </c>
      <c r="B400" t="str">
        <f>_xlfn.XLOOKUP('Raw Data'!B400,$Q$2:$Q$9,$R$2:$R$9,,1)</f>
        <v>0 - 5</v>
      </c>
      <c r="C400">
        <v>2</v>
      </c>
      <c r="D400" t="str">
        <f>_xlfn.XLOOKUP('Raw Data'!D400,$V$2:$V$5,$W$2:$W$5,,1)</f>
        <v>11 - 15</v>
      </c>
      <c r="E400">
        <v>2016</v>
      </c>
      <c r="F400" t="str">
        <f>_xlfn.XLOOKUP('Raw Data'!F400,$Q$2:$Q$9,$R$2:$R$9,,1)</f>
        <v>5 - 10</v>
      </c>
      <c r="G400">
        <v>501.05</v>
      </c>
    </row>
    <row r="401" spans="1:7" x14ac:dyDescent="0.25">
      <c r="A401" t="str">
        <f>_xlfn.XLOOKUP('Raw Data'!A401,$M$2:$M$11,$N$2:$N$11,,1)</f>
        <v>23 - 28</v>
      </c>
      <c r="B401" t="str">
        <f>_xlfn.XLOOKUP('Raw Data'!B401,$Q$2:$Q$9,$R$2:$R$9,,1)</f>
        <v>5 - 10</v>
      </c>
      <c r="C401">
        <v>3</v>
      </c>
      <c r="D401" t="str">
        <f>_xlfn.XLOOKUP('Raw Data'!D401,$V$2:$V$5,$W$2:$W$5,,1)</f>
        <v>11 - 15</v>
      </c>
      <c r="E401">
        <v>2001</v>
      </c>
      <c r="F401" t="str">
        <f>_xlfn.XLOOKUP('Raw Data'!F401,$Q$2:$Q$9,$R$2:$R$9,,1)</f>
        <v>20 - 25</v>
      </c>
      <c r="G401">
        <v>500.45</v>
      </c>
    </row>
    <row r="402" spans="1:7" x14ac:dyDescent="0.25">
      <c r="A402" t="str">
        <f>_xlfn.XLOOKUP('Raw Data'!A402,$M$2:$M$11,$N$2:$N$11,,1)</f>
        <v>58 - 63</v>
      </c>
      <c r="B402" t="str">
        <f>_xlfn.XLOOKUP('Raw Data'!B402,$Q$2:$Q$9,$R$2:$R$9,,1)</f>
        <v>15 - 20</v>
      </c>
      <c r="C402">
        <v>0</v>
      </c>
      <c r="D402" t="str">
        <f>_xlfn.XLOOKUP('Raw Data'!D402,$V$2:$V$5,$W$2:$W$5,,1)</f>
        <v>23 - 27</v>
      </c>
      <c r="E402">
        <v>2006</v>
      </c>
      <c r="F402" t="str">
        <f>_xlfn.XLOOKUP('Raw Data'!F402,$Q$2:$Q$9,$R$2:$R$9,,1)</f>
        <v>15 - 20</v>
      </c>
      <c r="G402">
        <v>485.15</v>
      </c>
    </row>
    <row r="403" spans="1:7" x14ac:dyDescent="0.25">
      <c r="A403" t="str">
        <f>_xlfn.XLOOKUP('Raw Data'!A403,$M$2:$M$11,$N$2:$N$11,,1)</f>
        <v>28 - 33</v>
      </c>
      <c r="B403" t="str">
        <f>_xlfn.XLOOKUP('Raw Data'!B403,$Q$2:$Q$9,$R$2:$R$9,,1)</f>
        <v>5 - 10</v>
      </c>
      <c r="C403">
        <v>3</v>
      </c>
      <c r="D403" t="str">
        <f>_xlfn.XLOOKUP('Raw Data'!D403,$V$2:$V$5,$W$2:$W$5,,1)</f>
        <v>19 - 23</v>
      </c>
      <c r="E403">
        <v>1995</v>
      </c>
      <c r="F403" t="str">
        <f>_xlfn.XLOOKUP('Raw Data'!F403,$Q$2:$Q$9,$R$2:$R$9,,1)</f>
        <v>25 - 30</v>
      </c>
      <c r="G403">
        <v>499.9</v>
      </c>
    </row>
    <row r="404" spans="1:7" x14ac:dyDescent="0.25">
      <c r="A404" t="str">
        <f>_xlfn.XLOOKUP('Raw Data'!A404,$M$2:$M$11,$N$2:$N$11,,1)</f>
        <v>28 - 33</v>
      </c>
      <c r="B404" t="str">
        <f>_xlfn.XLOOKUP('Raw Data'!B404,$Q$2:$Q$9,$R$2:$R$9,,1)</f>
        <v>10 - 15</v>
      </c>
      <c r="C404">
        <v>3</v>
      </c>
      <c r="D404" t="str">
        <f>_xlfn.XLOOKUP('Raw Data'!D404,$V$2:$V$5,$W$2:$W$5,,1)</f>
        <v>15 - 19</v>
      </c>
      <c r="E404">
        <v>2022</v>
      </c>
      <c r="F404" t="str">
        <f>_xlfn.XLOOKUP('Raw Data'!F404,$Q$2:$Q$9,$R$2:$R$9,,1)</f>
        <v>0 - 5</v>
      </c>
      <c r="G404">
        <v>495.6</v>
      </c>
    </row>
    <row r="405" spans="1:7" x14ac:dyDescent="0.25">
      <c r="A405" t="str">
        <f>_xlfn.XLOOKUP('Raw Data'!A405,$M$2:$M$11,$N$2:$N$11,,1)</f>
        <v>28 - 33</v>
      </c>
      <c r="B405" t="str">
        <f>_xlfn.XLOOKUP('Raw Data'!B405,$Q$2:$Q$9,$R$2:$R$9,,1)</f>
        <v>10 - 15</v>
      </c>
      <c r="C405">
        <v>0</v>
      </c>
      <c r="D405" t="str">
        <f>_xlfn.XLOOKUP('Raw Data'!D405,$V$2:$V$5,$W$2:$W$5,,1)</f>
        <v>11 - 15</v>
      </c>
      <c r="E405">
        <v>1994</v>
      </c>
      <c r="F405" t="str">
        <f>_xlfn.XLOOKUP('Raw Data'!F405,$Q$2:$Q$9,$R$2:$R$9,,1)</f>
        <v>30 - 35</v>
      </c>
      <c r="G405">
        <v>494.7</v>
      </c>
    </row>
    <row r="406" spans="1:7" x14ac:dyDescent="0.25">
      <c r="A406" t="str">
        <f>_xlfn.XLOOKUP('Raw Data'!A406,$M$2:$M$11,$N$2:$N$11,,1)</f>
        <v>38 - 43</v>
      </c>
      <c r="B406" t="str">
        <f>_xlfn.XLOOKUP('Raw Data'!B406,$Q$2:$Q$9,$R$2:$R$9,,1)</f>
        <v>15 - 20</v>
      </c>
      <c r="C406">
        <v>4</v>
      </c>
      <c r="D406" t="str">
        <f>_xlfn.XLOOKUP('Raw Data'!D406,$V$2:$V$5,$W$2:$W$5,,1)</f>
        <v>11 - 15</v>
      </c>
      <c r="E406">
        <v>2017</v>
      </c>
      <c r="F406" t="str">
        <f>_xlfn.XLOOKUP('Raw Data'!F406,$Q$2:$Q$9,$R$2:$R$9,,1)</f>
        <v>5 - 10</v>
      </c>
      <c r="G406">
        <v>494.55</v>
      </c>
    </row>
    <row r="407" spans="1:7" x14ac:dyDescent="0.25">
      <c r="A407" t="str">
        <f>_xlfn.XLOOKUP('Raw Data'!A407,$M$2:$M$11,$N$2:$N$11,,1)</f>
        <v>28 - 33</v>
      </c>
      <c r="B407" t="str">
        <f>_xlfn.XLOOKUP('Raw Data'!B407,$Q$2:$Q$9,$R$2:$R$9,,1)</f>
        <v>10 - 15</v>
      </c>
      <c r="C407">
        <v>3</v>
      </c>
      <c r="D407" t="str">
        <f>_xlfn.XLOOKUP('Raw Data'!D407,$V$2:$V$5,$W$2:$W$5,,1)</f>
        <v>11 - 15</v>
      </c>
      <c r="E407">
        <v>2003</v>
      </c>
      <c r="F407" t="str">
        <f>_xlfn.XLOOKUP('Raw Data'!F407,$Q$2:$Q$9,$R$2:$R$9,,1)</f>
        <v>20 - 25</v>
      </c>
      <c r="G407">
        <v>496.65</v>
      </c>
    </row>
    <row r="408" spans="1:7" x14ac:dyDescent="0.25">
      <c r="A408" t="str">
        <f>_xlfn.XLOOKUP('Raw Data'!A408,$M$2:$M$11,$N$2:$N$11,,1)</f>
        <v>43 - 48</v>
      </c>
      <c r="B408" t="str">
        <f>_xlfn.XLOOKUP('Raw Data'!B408,$Q$2:$Q$9,$R$2:$R$9,,1)</f>
        <v>25 - 30</v>
      </c>
      <c r="C408">
        <v>3</v>
      </c>
      <c r="D408" t="str">
        <f>_xlfn.XLOOKUP('Raw Data'!D408,$V$2:$V$5,$W$2:$W$5,,1)</f>
        <v>19 - 23</v>
      </c>
      <c r="E408">
        <v>1994</v>
      </c>
      <c r="F408" t="str">
        <f>_xlfn.XLOOKUP('Raw Data'!F408,$Q$2:$Q$9,$R$2:$R$9,,1)</f>
        <v>30 - 35</v>
      </c>
      <c r="G408">
        <v>491.6</v>
      </c>
    </row>
    <row r="409" spans="1:7" x14ac:dyDescent="0.25">
      <c r="A409" t="str">
        <f>_xlfn.XLOOKUP('Raw Data'!A409,$M$2:$M$11,$N$2:$N$11,,1)</f>
        <v>48 - 53</v>
      </c>
      <c r="B409" t="str">
        <f>_xlfn.XLOOKUP('Raw Data'!B409,$Q$2:$Q$9,$R$2:$R$9,,1)</f>
        <v>10 - 15</v>
      </c>
      <c r="C409">
        <v>4</v>
      </c>
      <c r="D409" t="str">
        <f>_xlfn.XLOOKUP('Raw Data'!D409,$V$2:$V$5,$W$2:$W$5,,1)</f>
        <v>19 - 23</v>
      </c>
      <c r="E409">
        <v>2022</v>
      </c>
      <c r="F409" t="str">
        <f>_xlfn.XLOOKUP('Raw Data'!F409,$Q$2:$Q$9,$R$2:$R$9,,1)</f>
        <v>0 - 5</v>
      </c>
      <c r="G409">
        <v>492.6</v>
      </c>
    </row>
    <row r="410" spans="1:7" x14ac:dyDescent="0.25">
      <c r="A410" t="str">
        <f>_xlfn.XLOOKUP('Raw Data'!A410,$M$2:$M$11,$N$2:$N$11,,1)</f>
        <v>18 - 23</v>
      </c>
      <c r="B410" t="str">
        <f>_xlfn.XLOOKUP('Raw Data'!B410,$Q$2:$Q$9,$R$2:$R$9,,1)</f>
        <v>0 - 5</v>
      </c>
      <c r="C410">
        <v>3</v>
      </c>
      <c r="D410" t="str">
        <f>_xlfn.XLOOKUP('Raw Data'!D410,$V$2:$V$5,$W$2:$W$5,,1)</f>
        <v>11 - 15</v>
      </c>
      <c r="E410">
        <v>2008</v>
      </c>
      <c r="F410" t="str">
        <f>_xlfn.XLOOKUP('Raw Data'!F410,$Q$2:$Q$9,$R$2:$R$9,,1)</f>
        <v>15 - 20</v>
      </c>
      <c r="G410">
        <v>502.75</v>
      </c>
    </row>
    <row r="411" spans="1:7" x14ac:dyDescent="0.25">
      <c r="A411" t="str">
        <f>_xlfn.XLOOKUP('Raw Data'!A411,$M$2:$M$11,$N$2:$N$11,,1)</f>
        <v>48 - 53</v>
      </c>
      <c r="B411" t="str">
        <f>_xlfn.XLOOKUP('Raw Data'!B411,$Q$2:$Q$9,$R$2:$R$9,,1)</f>
        <v>5 - 10</v>
      </c>
      <c r="C411">
        <v>3</v>
      </c>
      <c r="D411" t="str">
        <f>_xlfn.XLOOKUP('Raw Data'!D411,$V$2:$V$5,$W$2:$W$5,,1)</f>
        <v>23 - 27</v>
      </c>
      <c r="E411">
        <v>2011</v>
      </c>
      <c r="F411" t="str">
        <f>_xlfn.XLOOKUP('Raw Data'!F411,$Q$2:$Q$9,$R$2:$R$9,,1)</f>
        <v>10 - 15</v>
      </c>
      <c r="G411">
        <v>495.25</v>
      </c>
    </row>
    <row r="412" spans="1:7" x14ac:dyDescent="0.25">
      <c r="A412" t="str">
        <f>_xlfn.XLOOKUP('Raw Data'!A412,$M$2:$M$11,$N$2:$N$11,,1)</f>
        <v>38 - 43</v>
      </c>
      <c r="B412" t="str">
        <f>_xlfn.XLOOKUP('Raw Data'!B412,$Q$2:$Q$9,$R$2:$R$9,,1)</f>
        <v>20 - 25</v>
      </c>
      <c r="C412">
        <v>3</v>
      </c>
      <c r="D412" t="str">
        <f>_xlfn.XLOOKUP('Raw Data'!D412,$V$2:$V$5,$W$2:$W$5,,1)</f>
        <v>15 - 19</v>
      </c>
      <c r="E412">
        <v>1994</v>
      </c>
      <c r="F412" t="str">
        <f>_xlfn.XLOOKUP('Raw Data'!F412,$Q$2:$Q$9,$R$2:$R$9,,1)</f>
        <v>30 - 35</v>
      </c>
      <c r="G412">
        <v>493.95</v>
      </c>
    </row>
    <row r="413" spans="1:7" x14ac:dyDescent="0.25">
      <c r="A413" t="str">
        <f>_xlfn.XLOOKUP('Raw Data'!A413,$M$2:$M$11,$N$2:$N$11,,1)</f>
        <v>38 - 43</v>
      </c>
      <c r="B413" t="str">
        <f>_xlfn.XLOOKUP('Raw Data'!B413,$Q$2:$Q$9,$R$2:$R$9,,1)</f>
        <v>15 - 20</v>
      </c>
      <c r="C413">
        <v>5</v>
      </c>
      <c r="D413" t="str">
        <f>_xlfn.XLOOKUP('Raw Data'!D413,$V$2:$V$5,$W$2:$W$5,,1)</f>
        <v>15 - 19</v>
      </c>
      <c r="E413">
        <v>1991</v>
      </c>
      <c r="F413" t="str">
        <f>_xlfn.XLOOKUP('Raw Data'!F413,$Q$2:$Q$9,$R$2:$R$9,,1)</f>
        <v>30 - 35</v>
      </c>
      <c r="G413">
        <v>498.85</v>
      </c>
    </row>
    <row r="414" spans="1:7" x14ac:dyDescent="0.25">
      <c r="A414" t="str">
        <f>_xlfn.XLOOKUP('Raw Data'!A414,$M$2:$M$11,$N$2:$N$11,,1)</f>
        <v>38 - 43</v>
      </c>
      <c r="B414" t="str">
        <f>_xlfn.XLOOKUP('Raw Data'!B414,$Q$2:$Q$9,$R$2:$R$9,,1)</f>
        <v>20 - 25</v>
      </c>
      <c r="C414">
        <v>1</v>
      </c>
      <c r="D414" t="str">
        <f>_xlfn.XLOOKUP('Raw Data'!D414,$V$2:$V$5,$W$2:$W$5,,1)</f>
        <v>11 - 15</v>
      </c>
      <c r="E414">
        <v>2019</v>
      </c>
      <c r="F414" t="str">
        <f>_xlfn.XLOOKUP('Raw Data'!F414,$Q$2:$Q$9,$R$2:$R$9,,1)</f>
        <v>5 - 10</v>
      </c>
      <c r="G414">
        <v>487.1</v>
      </c>
    </row>
    <row r="415" spans="1:7" x14ac:dyDescent="0.25">
      <c r="A415" t="str">
        <f>_xlfn.XLOOKUP('Raw Data'!A415,$M$2:$M$11,$N$2:$N$11,,1)</f>
        <v>38 - 43</v>
      </c>
      <c r="B415" t="str">
        <f>_xlfn.XLOOKUP('Raw Data'!B415,$Q$2:$Q$9,$R$2:$R$9,,1)</f>
        <v>10 - 15</v>
      </c>
      <c r="C415">
        <v>4</v>
      </c>
      <c r="D415" t="str">
        <f>_xlfn.XLOOKUP('Raw Data'!D415,$V$2:$V$5,$W$2:$W$5,,1)</f>
        <v>23 - 27</v>
      </c>
      <c r="E415">
        <v>1993</v>
      </c>
      <c r="F415" t="str">
        <f>_xlfn.XLOOKUP('Raw Data'!F415,$Q$2:$Q$9,$R$2:$R$9,,1)</f>
        <v>30 - 35</v>
      </c>
      <c r="G415">
        <v>499.35</v>
      </c>
    </row>
    <row r="416" spans="1:7" x14ac:dyDescent="0.25">
      <c r="A416" t="str">
        <f>_xlfn.XLOOKUP('Raw Data'!A416,$M$2:$M$11,$N$2:$N$11,,1)</f>
        <v>38 - 43</v>
      </c>
      <c r="B416" t="str">
        <f>_xlfn.XLOOKUP('Raw Data'!B416,$Q$2:$Q$9,$R$2:$R$9,,1)</f>
        <v>10 - 15</v>
      </c>
      <c r="C416">
        <v>3</v>
      </c>
      <c r="D416" t="str">
        <f>_xlfn.XLOOKUP('Raw Data'!D416,$V$2:$V$5,$W$2:$W$5,,1)</f>
        <v>19 - 23</v>
      </c>
      <c r="E416">
        <v>2022</v>
      </c>
      <c r="F416" t="str">
        <f>_xlfn.XLOOKUP('Raw Data'!F416,$Q$2:$Q$9,$R$2:$R$9,,1)</f>
        <v>0 - 5</v>
      </c>
      <c r="G416">
        <v>493.95</v>
      </c>
    </row>
    <row r="417" spans="1:7" x14ac:dyDescent="0.25">
      <c r="A417" t="str">
        <f>_xlfn.XLOOKUP('Raw Data'!A417,$M$2:$M$11,$N$2:$N$11,,1)</f>
        <v>58 - 63</v>
      </c>
      <c r="B417" t="str">
        <f>_xlfn.XLOOKUP('Raw Data'!B417,$Q$2:$Q$9,$R$2:$R$9,,1)</f>
        <v>20 - 25</v>
      </c>
      <c r="C417">
        <v>5</v>
      </c>
      <c r="D417" t="str">
        <f>_xlfn.XLOOKUP('Raw Data'!D417,$V$2:$V$5,$W$2:$W$5,,1)</f>
        <v>15 - 19</v>
      </c>
      <c r="E417">
        <v>2002</v>
      </c>
      <c r="F417" t="str">
        <f>_xlfn.XLOOKUP('Raw Data'!F417,$Q$2:$Q$9,$R$2:$R$9,,1)</f>
        <v>20 - 25</v>
      </c>
      <c r="G417">
        <v>491.45</v>
      </c>
    </row>
    <row r="418" spans="1:7" x14ac:dyDescent="0.25">
      <c r="A418" t="str">
        <f>_xlfn.XLOOKUP('Raw Data'!A418,$M$2:$M$11,$N$2:$N$11,,1)</f>
        <v>18 - 23</v>
      </c>
      <c r="B418" t="str">
        <f>_xlfn.XLOOKUP('Raw Data'!B418,$Q$2:$Q$9,$R$2:$R$9,,1)</f>
        <v>0 - 5</v>
      </c>
      <c r="C418">
        <v>4</v>
      </c>
      <c r="D418" t="str">
        <f>_xlfn.XLOOKUP('Raw Data'!D418,$V$2:$V$5,$W$2:$W$5,,1)</f>
        <v>19 - 23</v>
      </c>
      <c r="E418">
        <v>2009</v>
      </c>
      <c r="F418" t="str">
        <f>_xlfn.XLOOKUP('Raw Data'!F418,$Q$2:$Q$9,$R$2:$R$9,,1)</f>
        <v>15 - 20</v>
      </c>
      <c r="G418">
        <v>502.5</v>
      </c>
    </row>
    <row r="419" spans="1:7" x14ac:dyDescent="0.25">
      <c r="A419" t="str">
        <f>_xlfn.XLOOKUP('Raw Data'!A419,$M$2:$M$11,$N$2:$N$11,,1)</f>
        <v>28 - 33</v>
      </c>
      <c r="B419" t="str">
        <f>_xlfn.XLOOKUP('Raw Data'!B419,$Q$2:$Q$9,$R$2:$R$9,,1)</f>
        <v>10 - 15</v>
      </c>
      <c r="C419">
        <v>2</v>
      </c>
      <c r="D419" t="str">
        <f>_xlfn.XLOOKUP('Raw Data'!D419,$V$2:$V$5,$W$2:$W$5,,1)</f>
        <v>11 - 15</v>
      </c>
      <c r="E419">
        <v>1996</v>
      </c>
      <c r="F419" t="str">
        <f>_xlfn.XLOOKUP('Raw Data'!F419,$Q$2:$Q$9,$R$2:$R$9,,1)</f>
        <v>25 - 30</v>
      </c>
      <c r="G419">
        <v>495.9</v>
      </c>
    </row>
    <row r="420" spans="1:7" x14ac:dyDescent="0.25">
      <c r="A420" t="str">
        <f>_xlfn.XLOOKUP('Raw Data'!A420,$M$2:$M$11,$N$2:$N$11,,1)</f>
        <v>58 - 63</v>
      </c>
      <c r="B420" t="str">
        <f>_xlfn.XLOOKUP('Raw Data'!B420,$Q$2:$Q$9,$R$2:$R$9,,1)</f>
        <v>30 - 35</v>
      </c>
      <c r="C420">
        <v>2</v>
      </c>
      <c r="D420" t="str">
        <f>_xlfn.XLOOKUP('Raw Data'!D420,$V$2:$V$5,$W$2:$W$5,,1)</f>
        <v>11 - 15</v>
      </c>
      <c r="E420">
        <v>2004</v>
      </c>
      <c r="F420" t="str">
        <f>_xlfn.XLOOKUP('Raw Data'!F420,$Q$2:$Q$9,$R$2:$R$9,,1)</f>
        <v>20 - 25</v>
      </c>
      <c r="G420">
        <v>484.45</v>
      </c>
    </row>
    <row r="421" spans="1:7" x14ac:dyDescent="0.25">
      <c r="A421" t="str">
        <f>_xlfn.XLOOKUP('Raw Data'!A421,$M$2:$M$11,$N$2:$N$11,,1)</f>
        <v>53 - 58</v>
      </c>
      <c r="B421" t="str">
        <f>_xlfn.XLOOKUP('Raw Data'!B421,$Q$2:$Q$9,$R$2:$R$9,,1)</f>
        <v>5 - 10</v>
      </c>
      <c r="C421">
        <v>3</v>
      </c>
      <c r="D421" t="str">
        <f>_xlfn.XLOOKUP('Raw Data'!D421,$V$2:$V$5,$W$2:$W$5,,1)</f>
        <v>19 - 23</v>
      </c>
      <c r="E421">
        <v>2012</v>
      </c>
      <c r="F421" t="str">
        <f>_xlfn.XLOOKUP('Raw Data'!F421,$Q$2:$Q$9,$R$2:$R$9,,1)</f>
        <v>10 - 15</v>
      </c>
      <c r="G421">
        <v>493.35</v>
      </c>
    </row>
    <row r="422" spans="1:7" x14ac:dyDescent="0.25">
      <c r="A422" t="str">
        <f>_xlfn.XLOOKUP('Raw Data'!A422,$M$2:$M$11,$N$2:$N$11,,1)</f>
        <v>48 - 53</v>
      </c>
      <c r="B422" t="str">
        <f>_xlfn.XLOOKUP('Raw Data'!B422,$Q$2:$Q$9,$R$2:$R$9,,1)</f>
        <v>10 - 15</v>
      </c>
      <c r="C422">
        <v>5</v>
      </c>
      <c r="D422" t="str">
        <f>_xlfn.XLOOKUP('Raw Data'!D422,$V$2:$V$5,$W$2:$W$5,,1)</f>
        <v>19 - 23</v>
      </c>
      <c r="E422">
        <v>2003</v>
      </c>
      <c r="F422" t="str">
        <f>_xlfn.XLOOKUP('Raw Data'!F422,$Q$2:$Q$9,$R$2:$R$9,,1)</f>
        <v>20 - 25</v>
      </c>
      <c r="G422">
        <v>496.35</v>
      </c>
    </row>
    <row r="423" spans="1:7" x14ac:dyDescent="0.25">
      <c r="A423" t="str">
        <f>_xlfn.XLOOKUP('Raw Data'!A423,$M$2:$M$11,$N$2:$N$11,,1)</f>
        <v>23 - 28</v>
      </c>
      <c r="B423" t="str">
        <f>_xlfn.XLOOKUP('Raw Data'!B423,$Q$2:$Q$9,$R$2:$R$9,,1)</f>
        <v>5 - 10</v>
      </c>
      <c r="C423">
        <v>5</v>
      </c>
      <c r="D423" t="str">
        <f>_xlfn.XLOOKUP('Raw Data'!D423,$V$2:$V$5,$W$2:$W$5,,1)</f>
        <v>19 - 23</v>
      </c>
      <c r="E423">
        <v>2012</v>
      </c>
      <c r="F423" t="str">
        <f>_xlfn.XLOOKUP('Raw Data'!F423,$Q$2:$Q$9,$R$2:$R$9,,1)</f>
        <v>10 - 15</v>
      </c>
      <c r="G423">
        <v>503</v>
      </c>
    </row>
    <row r="424" spans="1:7" x14ac:dyDescent="0.25">
      <c r="A424" t="str">
        <f>_xlfn.XLOOKUP('Raw Data'!A424,$M$2:$M$11,$N$2:$N$11,,1)</f>
        <v>58 - 63</v>
      </c>
      <c r="B424" t="str">
        <f>_xlfn.XLOOKUP('Raw Data'!B424,$Q$2:$Q$9,$R$2:$R$9,,1)</f>
        <v>15 - 20</v>
      </c>
      <c r="C424">
        <v>4</v>
      </c>
      <c r="D424" t="str">
        <f>_xlfn.XLOOKUP('Raw Data'!D424,$V$2:$V$5,$W$2:$W$5,,1)</f>
        <v>23 - 27</v>
      </c>
      <c r="E424">
        <v>2008</v>
      </c>
      <c r="F424" t="str">
        <f>_xlfn.XLOOKUP('Raw Data'!F424,$Q$2:$Q$9,$R$2:$R$9,,1)</f>
        <v>15 - 20</v>
      </c>
      <c r="G424">
        <v>491.9</v>
      </c>
    </row>
    <row r="425" spans="1:7" x14ac:dyDescent="0.25">
      <c r="A425" t="str">
        <f>_xlfn.XLOOKUP('Raw Data'!A425,$M$2:$M$11,$N$2:$N$11,,1)</f>
        <v>58 - 63</v>
      </c>
      <c r="B425" t="str">
        <f>_xlfn.XLOOKUP('Raw Data'!B425,$Q$2:$Q$9,$R$2:$R$9,,1)</f>
        <v>20 - 25</v>
      </c>
      <c r="C425">
        <v>4</v>
      </c>
      <c r="D425" t="str">
        <f>_xlfn.XLOOKUP('Raw Data'!D425,$V$2:$V$5,$W$2:$W$5,,1)</f>
        <v>11 - 15</v>
      </c>
      <c r="E425">
        <v>2018</v>
      </c>
      <c r="F425" t="str">
        <f>_xlfn.XLOOKUP('Raw Data'!F425,$Q$2:$Q$9,$R$2:$R$9,,1)</f>
        <v>5 - 10</v>
      </c>
      <c r="G425">
        <v>488.5</v>
      </c>
    </row>
    <row r="426" spans="1:7" x14ac:dyDescent="0.25">
      <c r="A426" t="str">
        <f>_xlfn.XLOOKUP('Raw Data'!A426,$M$2:$M$11,$N$2:$N$11,,1)</f>
        <v>18 - 23</v>
      </c>
      <c r="B426" t="str">
        <f>_xlfn.XLOOKUP('Raw Data'!B426,$Q$2:$Q$9,$R$2:$R$9,,1)</f>
        <v>0 - 5</v>
      </c>
      <c r="C426">
        <v>5</v>
      </c>
      <c r="D426" t="str">
        <f>_xlfn.XLOOKUP('Raw Data'!D426,$V$2:$V$5,$W$2:$W$5,,1)</f>
        <v>11 - 15</v>
      </c>
      <c r="E426">
        <v>2009</v>
      </c>
      <c r="F426" t="str">
        <f>_xlfn.XLOOKUP('Raw Data'!F426,$Q$2:$Q$9,$R$2:$R$9,,1)</f>
        <v>15 - 20</v>
      </c>
      <c r="G426">
        <v>504.15</v>
      </c>
    </row>
    <row r="427" spans="1:7" x14ac:dyDescent="0.25">
      <c r="A427" t="str">
        <f>_xlfn.XLOOKUP('Raw Data'!A427,$M$2:$M$11,$N$2:$N$11,,1)</f>
        <v>53 - 58</v>
      </c>
      <c r="B427" t="str">
        <f>_xlfn.XLOOKUP('Raw Data'!B427,$Q$2:$Q$9,$R$2:$R$9,,1)</f>
        <v>15 - 20</v>
      </c>
      <c r="C427">
        <v>4</v>
      </c>
      <c r="D427" t="str">
        <f>_xlfn.XLOOKUP('Raw Data'!D427,$V$2:$V$5,$W$2:$W$5,,1)</f>
        <v>15 - 19</v>
      </c>
      <c r="E427">
        <v>2018</v>
      </c>
      <c r="F427" t="str">
        <f>_xlfn.XLOOKUP('Raw Data'!F427,$Q$2:$Q$9,$R$2:$R$9,,1)</f>
        <v>5 - 10</v>
      </c>
      <c r="G427">
        <v>490.3</v>
      </c>
    </row>
    <row r="428" spans="1:7" x14ac:dyDescent="0.25">
      <c r="A428" t="str">
        <f>_xlfn.XLOOKUP('Raw Data'!A428,$M$2:$M$11,$N$2:$N$11,,1)</f>
        <v>18 - 23</v>
      </c>
      <c r="B428" t="str">
        <f>_xlfn.XLOOKUP('Raw Data'!B428,$Q$2:$Q$9,$R$2:$R$9,,1)</f>
        <v>0 - 5</v>
      </c>
      <c r="C428">
        <v>5</v>
      </c>
      <c r="D428" t="str">
        <f>_xlfn.XLOOKUP('Raw Data'!D428,$V$2:$V$5,$W$2:$W$5,,1)</f>
        <v>15 - 19</v>
      </c>
      <c r="E428">
        <v>2013</v>
      </c>
      <c r="F428" t="str">
        <f>_xlfn.XLOOKUP('Raw Data'!F428,$Q$2:$Q$9,$R$2:$R$9,,1)</f>
        <v>10 - 15</v>
      </c>
      <c r="G428">
        <v>504.55</v>
      </c>
    </row>
    <row r="429" spans="1:7" x14ac:dyDescent="0.25">
      <c r="A429" t="str">
        <f>_xlfn.XLOOKUP('Raw Data'!A429,$M$2:$M$11,$N$2:$N$11,,1)</f>
        <v>18 - 23</v>
      </c>
      <c r="B429" t="str">
        <f>_xlfn.XLOOKUP('Raw Data'!B429,$Q$2:$Q$9,$R$2:$R$9,,1)</f>
        <v>0 - 5</v>
      </c>
      <c r="C429">
        <v>1</v>
      </c>
      <c r="D429" t="str">
        <f>_xlfn.XLOOKUP('Raw Data'!D429,$V$2:$V$5,$W$2:$W$5,,1)</f>
        <v>15 - 19</v>
      </c>
      <c r="E429">
        <v>2007</v>
      </c>
      <c r="F429" t="str">
        <f>_xlfn.XLOOKUP('Raw Data'!F429,$Q$2:$Q$9,$R$2:$R$9,,1)</f>
        <v>15 - 20</v>
      </c>
      <c r="G429">
        <v>498.15</v>
      </c>
    </row>
    <row r="430" spans="1:7" x14ac:dyDescent="0.25">
      <c r="A430" t="str">
        <f>_xlfn.XLOOKUP('Raw Data'!A430,$M$2:$M$11,$N$2:$N$11,,1)</f>
        <v>58 - 63</v>
      </c>
      <c r="B430" t="str">
        <f>_xlfn.XLOOKUP('Raw Data'!B430,$Q$2:$Q$9,$R$2:$R$9,,1)</f>
        <v>10 - 15</v>
      </c>
      <c r="C430">
        <v>5</v>
      </c>
      <c r="D430" t="str">
        <f>_xlfn.XLOOKUP('Raw Data'!D430,$V$2:$V$5,$W$2:$W$5,,1)</f>
        <v>15 - 19</v>
      </c>
      <c r="E430">
        <v>1999</v>
      </c>
      <c r="F430" t="str">
        <f>_xlfn.XLOOKUP('Raw Data'!F430,$Q$2:$Q$9,$R$2:$R$9,,1)</f>
        <v>25 - 30</v>
      </c>
      <c r="G430">
        <v>494.65</v>
      </c>
    </row>
    <row r="431" spans="1:7" x14ac:dyDescent="0.25">
      <c r="A431" t="str">
        <f>_xlfn.XLOOKUP('Raw Data'!A431,$M$2:$M$11,$N$2:$N$11,,1)</f>
        <v>48 - 53</v>
      </c>
      <c r="B431" t="str">
        <f>_xlfn.XLOOKUP('Raw Data'!B431,$Q$2:$Q$9,$R$2:$R$9,,1)</f>
        <v>10 - 15</v>
      </c>
      <c r="C431">
        <v>2</v>
      </c>
      <c r="D431" t="str">
        <f>_xlfn.XLOOKUP('Raw Data'!D431,$V$2:$V$5,$W$2:$W$5,,1)</f>
        <v>19 - 23</v>
      </c>
      <c r="E431">
        <v>1997</v>
      </c>
      <c r="F431" t="str">
        <f>_xlfn.XLOOKUP('Raw Data'!F431,$Q$2:$Q$9,$R$2:$R$9,,1)</f>
        <v>25 - 30</v>
      </c>
      <c r="G431">
        <v>492.9</v>
      </c>
    </row>
    <row r="432" spans="1:7" x14ac:dyDescent="0.25">
      <c r="A432" t="str">
        <f>_xlfn.XLOOKUP('Raw Data'!A432,$M$2:$M$11,$N$2:$N$11,,1)</f>
        <v>43 - 48</v>
      </c>
      <c r="B432" t="str">
        <f>_xlfn.XLOOKUP('Raw Data'!B432,$Q$2:$Q$9,$R$2:$R$9,,1)</f>
        <v>5 - 10</v>
      </c>
      <c r="C432">
        <v>4</v>
      </c>
      <c r="D432" t="str">
        <f>_xlfn.XLOOKUP('Raw Data'!D432,$V$2:$V$5,$W$2:$W$5,,1)</f>
        <v>11 - 15</v>
      </c>
      <c r="E432">
        <v>2015</v>
      </c>
      <c r="F432" t="str">
        <f>_xlfn.XLOOKUP('Raw Data'!F432,$Q$2:$Q$9,$R$2:$R$9,,1)</f>
        <v>5 - 10</v>
      </c>
      <c r="G432">
        <v>496.45</v>
      </c>
    </row>
    <row r="433" spans="1:7" x14ac:dyDescent="0.25">
      <c r="A433" t="str">
        <f>_xlfn.XLOOKUP('Raw Data'!A433,$M$2:$M$11,$N$2:$N$11,,1)</f>
        <v>63 - 68</v>
      </c>
      <c r="B433" t="str">
        <f>_xlfn.XLOOKUP('Raw Data'!B433,$Q$2:$Q$9,$R$2:$R$9,,1)</f>
        <v>5 - 10</v>
      </c>
      <c r="C433">
        <v>5</v>
      </c>
      <c r="D433" t="str">
        <f>_xlfn.XLOOKUP('Raw Data'!D433,$V$2:$V$5,$W$2:$W$5,,1)</f>
        <v>11 - 15</v>
      </c>
      <c r="E433">
        <v>2018</v>
      </c>
      <c r="F433" t="str">
        <f>_xlfn.XLOOKUP('Raw Data'!F433,$Q$2:$Q$9,$R$2:$R$9,,1)</f>
        <v>5 - 10</v>
      </c>
      <c r="G433">
        <v>493.7</v>
      </c>
    </row>
    <row r="434" spans="1:7" x14ac:dyDescent="0.25">
      <c r="A434" t="str">
        <f>_xlfn.XLOOKUP('Raw Data'!A434,$M$2:$M$11,$N$2:$N$11,,1)</f>
        <v>48 - 53</v>
      </c>
      <c r="B434" t="str">
        <f>_xlfn.XLOOKUP('Raw Data'!B434,$Q$2:$Q$9,$R$2:$R$9,,1)</f>
        <v>5 - 10</v>
      </c>
      <c r="C434">
        <v>5</v>
      </c>
      <c r="D434" t="str">
        <f>_xlfn.XLOOKUP('Raw Data'!D434,$V$2:$V$5,$W$2:$W$5,,1)</f>
        <v>15 - 19</v>
      </c>
      <c r="E434">
        <v>1999</v>
      </c>
      <c r="F434" t="str">
        <f>_xlfn.XLOOKUP('Raw Data'!F434,$Q$2:$Q$9,$R$2:$R$9,,1)</f>
        <v>25 - 30</v>
      </c>
      <c r="G434">
        <v>498.4</v>
      </c>
    </row>
    <row r="435" spans="1:7" x14ac:dyDescent="0.25">
      <c r="A435" t="str">
        <f>_xlfn.XLOOKUP('Raw Data'!A435,$M$2:$M$11,$N$2:$N$11,,1)</f>
        <v>53 - 58</v>
      </c>
      <c r="B435" t="str">
        <f>_xlfn.XLOOKUP('Raw Data'!B435,$Q$2:$Q$9,$R$2:$R$9,,1)</f>
        <v>20 - 25</v>
      </c>
      <c r="C435">
        <v>4</v>
      </c>
      <c r="D435" t="str">
        <f>_xlfn.XLOOKUP('Raw Data'!D435,$V$2:$V$5,$W$2:$W$5,,1)</f>
        <v>19 - 23</v>
      </c>
      <c r="E435">
        <v>2006</v>
      </c>
      <c r="F435" t="str">
        <f>_xlfn.XLOOKUP('Raw Data'!F435,$Q$2:$Q$9,$R$2:$R$9,,1)</f>
        <v>15 - 20</v>
      </c>
      <c r="G435">
        <v>490.95</v>
      </c>
    </row>
    <row r="436" spans="1:7" x14ac:dyDescent="0.25">
      <c r="A436" t="str">
        <f>_xlfn.XLOOKUP('Raw Data'!A436,$M$2:$M$11,$N$2:$N$11,,1)</f>
        <v>28 - 33</v>
      </c>
      <c r="B436" t="str">
        <f>_xlfn.XLOOKUP('Raw Data'!B436,$Q$2:$Q$9,$R$2:$R$9,,1)</f>
        <v>10 - 15</v>
      </c>
      <c r="C436">
        <v>1</v>
      </c>
      <c r="D436" t="str">
        <f>_xlfn.XLOOKUP('Raw Data'!D436,$V$2:$V$5,$W$2:$W$5,,1)</f>
        <v>11 - 15</v>
      </c>
      <c r="E436">
        <v>1991</v>
      </c>
      <c r="F436" t="str">
        <f>_xlfn.XLOOKUP('Raw Data'!F436,$Q$2:$Q$9,$R$2:$R$9,,1)</f>
        <v>30 - 35</v>
      </c>
      <c r="G436">
        <v>494.55</v>
      </c>
    </row>
    <row r="437" spans="1:7" x14ac:dyDescent="0.25">
      <c r="A437" t="str">
        <f>_xlfn.XLOOKUP('Raw Data'!A437,$M$2:$M$11,$N$2:$N$11,,1)</f>
        <v>28 - 33</v>
      </c>
      <c r="B437" t="str">
        <f>_xlfn.XLOOKUP('Raw Data'!B437,$Q$2:$Q$9,$R$2:$R$9,,1)</f>
        <v>10 - 15</v>
      </c>
      <c r="C437">
        <v>1</v>
      </c>
      <c r="D437" t="str">
        <f>_xlfn.XLOOKUP('Raw Data'!D437,$V$2:$V$5,$W$2:$W$5,,1)</f>
        <v>11 - 15</v>
      </c>
      <c r="E437">
        <v>1995</v>
      </c>
      <c r="F437" t="str">
        <f>_xlfn.XLOOKUP('Raw Data'!F437,$Q$2:$Q$9,$R$2:$R$9,,1)</f>
        <v>25 - 30</v>
      </c>
      <c r="G437">
        <v>495.5</v>
      </c>
    </row>
    <row r="438" spans="1:7" x14ac:dyDescent="0.25">
      <c r="A438" t="str">
        <f>_xlfn.XLOOKUP('Raw Data'!A438,$M$2:$M$11,$N$2:$N$11,,1)</f>
        <v>58 - 63</v>
      </c>
      <c r="B438" t="str">
        <f>_xlfn.XLOOKUP('Raw Data'!B438,$Q$2:$Q$9,$R$2:$R$9,,1)</f>
        <v>25 - 30</v>
      </c>
      <c r="C438">
        <v>4</v>
      </c>
      <c r="D438" t="str">
        <f>_xlfn.XLOOKUP('Raw Data'!D438,$V$2:$V$5,$W$2:$W$5,,1)</f>
        <v>19 - 23</v>
      </c>
      <c r="E438">
        <v>1994</v>
      </c>
      <c r="F438" t="str">
        <f>_xlfn.XLOOKUP('Raw Data'!F438,$Q$2:$Q$9,$R$2:$R$9,,1)</f>
        <v>30 - 35</v>
      </c>
      <c r="G438">
        <v>489.45</v>
      </c>
    </row>
    <row r="439" spans="1:7" x14ac:dyDescent="0.25">
      <c r="A439" t="str">
        <f>_xlfn.XLOOKUP('Raw Data'!A439,$M$2:$M$11,$N$2:$N$11,,1)</f>
        <v>43 - 48</v>
      </c>
      <c r="B439" t="str">
        <f>_xlfn.XLOOKUP('Raw Data'!B439,$Q$2:$Q$9,$R$2:$R$9,,1)</f>
        <v>25 - 30</v>
      </c>
      <c r="C439">
        <v>0</v>
      </c>
      <c r="D439" t="str">
        <f>_xlfn.XLOOKUP('Raw Data'!D439,$V$2:$V$5,$W$2:$W$5,,1)</f>
        <v>15 - 19</v>
      </c>
      <c r="E439">
        <v>2017</v>
      </c>
      <c r="F439" t="str">
        <f>_xlfn.XLOOKUP('Raw Data'!F439,$Q$2:$Q$9,$R$2:$R$9,,1)</f>
        <v>5 - 10</v>
      </c>
      <c r="G439">
        <v>483.5</v>
      </c>
    </row>
    <row r="440" spans="1:7" x14ac:dyDescent="0.25">
      <c r="A440" t="str">
        <f>_xlfn.XLOOKUP('Raw Data'!A440,$M$2:$M$11,$N$2:$N$11,,1)</f>
        <v>33 - 38</v>
      </c>
      <c r="B440" t="str">
        <f>_xlfn.XLOOKUP('Raw Data'!B440,$Q$2:$Q$9,$R$2:$R$9,,1)</f>
        <v>15 - 20</v>
      </c>
      <c r="C440">
        <v>4</v>
      </c>
      <c r="D440" t="str">
        <f>_xlfn.XLOOKUP('Raw Data'!D440,$V$2:$V$5,$W$2:$W$5,,1)</f>
        <v>11 - 15</v>
      </c>
      <c r="E440">
        <v>1994</v>
      </c>
      <c r="F440" t="str">
        <f>_xlfn.XLOOKUP('Raw Data'!F440,$Q$2:$Q$9,$R$2:$R$9,,1)</f>
        <v>30 - 35</v>
      </c>
      <c r="G440">
        <v>497.15</v>
      </c>
    </row>
    <row r="441" spans="1:7" x14ac:dyDescent="0.25">
      <c r="A441" t="str">
        <f>_xlfn.XLOOKUP('Raw Data'!A441,$M$2:$M$11,$N$2:$N$11,,1)</f>
        <v>33 - 38</v>
      </c>
      <c r="B441" t="str">
        <f>_xlfn.XLOOKUP('Raw Data'!B441,$Q$2:$Q$9,$R$2:$R$9,,1)</f>
        <v>15 - 20</v>
      </c>
      <c r="C441">
        <v>4</v>
      </c>
      <c r="D441" t="str">
        <f>_xlfn.XLOOKUP('Raw Data'!D441,$V$2:$V$5,$W$2:$W$5,,1)</f>
        <v>23 - 27</v>
      </c>
      <c r="E441">
        <v>2007</v>
      </c>
      <c r="F441" t="str">
        <f>_xlfn.XLOOKUP('Raw Data'!F441,$Q$2:$Q$9,$R$2:$R$9,,1)</f>
        <v>15 - 20</v>
      </c>
      <c r="G441">
        <v>497.4</v>
      </c>
    </row>
    <row r="442" spans="1:7" x14ac:dyDescent="0.25">
      <c r="A442" t="str">
        <f>_xlfn.XLOOKUP('Raw Data'!A442,$M$2:$M$11,$N$2:$N$11,,1)</f>
        <v>33 - 38</v>
      </c>
      <c r="B442" t="str">
        <f>_xlfn.XLOOKUP('Raw Data'!B442,$Q$2:$Q$9,$R$2:$R$9,,1)</f>
        <v>15 - 20</v>
      </c>
      <c r="C442">
        <v>1</v>
      </c>
      <c r="D442" t="str">
        <f>_xlfn.XLOOKUP('Raw Data'!D442,$V$2:$V$5,$W$2:$W$5,,1)</f>
        <v>15 - 19</v>
      </c>
      <c r="E442">
        <v>2015</v>
      </c>
      <c r="F442" t="str">
        <f>_xlfn.XLOOKUP('Raw Data'!F442,$Q$2:$Q$9,$R$2:$R$9,,1)</f>
        <v>5 - 10</v>
      </c>
      <c r="G442">
        <v>491.1</v>
      </c>
    </row>
    <row r="443" spans="1:7" x14ac:dyDescent="0.25">
      <c r="A443" t="str">
        <f>_xlfn.XLOOKUP('Raw Data'!A443,$M$2:$M$11,$N$2:$N$11,,1)</f>
        <v>43 - 48</v>
      </c>
      <c r="B443" t="str">
        <f>_xlfn.XLOOKUP('Raw Data'!B443,$Q$2:$Q$9,$R$2:$R$9,,1)</f>
        <v>25 - 30</v>
      </c>
      <c r="C443">
        <v>1</v>
      </c>
      <c r="D443" t="str">
        <f>_xlfn.XLOOKUP('Raw Data'!D443,$V$2:$V$5,$W$2:$W$5,,1)</f>
        <v>11 - 15</v>
      </c>
      <c r="E443">
        <v>2009</v>
      </c>
      <c r="F443" t="str">
        <f>_xlfn.XLOOKUP('Raw Data'!F443,$Q$2:$Q$9,$R$2:$R$9,,1)</f>
        <v>15 - 20</v>
      </c>
      <c r="G443">
        <v>486.6</v>
      </c>
    </row>
    <row r="444" spans="1:7" x14ac:dyDescent="0.25">
      <c r="A444" t="str">
        <f>_xlfn.XLOOKUP('Raw Data'!A444,$M$2:$M$11,$N$2:$N$11,,1)</f>
        <v>38 - 43</v>
      </c>
      <c r="B444" t="str">
        <f>_xlfn.XLOOKUP('Raw Data'!B444,$Q$2:$Q$9,$R$2:$R$9,,1)</f>
        <v>15 - 20</v>
      </c>
      <c r="C444">
        <v>4</v>
      </c>
      <c r="D444" t="str">
        <f>_xlfn.XLOOKUP('Raw Data'!D444,$V$2:$V$5,$W$2:$W$5,,1)</f>
        <v>11 - 15</v>
      </c>
      <c r="E444">
        <v>2016</v>
      </c>
      <c r="F444" t="str">
        <f>_xlfn.XLOOKUP('Raw Data'!F444,$Q$2:$Q$9,$R$2:$R$9,,1)</f>
        <v>5 - 10</v>
      </c>
      <c r="G444">
        <v>494.05</v>
      </c>
    </row>
    <row r="445" spans="1:7" x14ac:dyDescent="0.25">
      <c r="A445" t="str">
        <f>_xlfn.XLOOKUP('Raw Data'!A445,$M$2:$M$11,$N$2:$N$11,,1)</f>
        <v>53 - 58</v>
      </c>
      <c r="B445" t="str">
        <f>_xlfn.XLOOKUP('Raw Data'!B445,$Q$2:$Q$9,$R$2:$R$9,,1)</f>
        <v>10 - 15</v>
      </c>
      <c r="C445">
        <v>4</v>
      </c>
      <c r="D445" t="str">
        <f>_xlfn.XLOOKUP('Raw Data'!D445,$V$2:$V$5,$W$2:$W$5,,1)</f>
        <v>15 - 19</v>
      </c>
      <c r="E445">
        <v>2001</v>
      </c>
      <c r="F445" t="str">
        <f>_xlfn.XLOOKUP('Raw Data'!F445,$Q$2:$Q$9,$R$2:$R$9,,1)</f>
        <v>20 - 25</v>
      </c>
      <c r="G445">
        <v>494.65</v>
      </c>
    </row>
    <row r="446" spans="1:7" x14ac:dyDescent="0.25">
      <c r="A446" t="str">
        <f>_xlfn.XLOOKUP('Raw Data'!A446,$M$2:$M$11,$N$2:$N$11,,1)</f>
        <v>38 - 43</v>
      </c>
      <c r="B446" t="str">
        <f>_xlfn.XLOOKUP('Raw Data'!B446,$Q$2:$Q$9,$R$2:$R$9,,1)</f>
        <v>20 - 25</v>
      </c>
      <c r="C446">
        <v>4</v>
      </c>
      <c r="D446" t="str">
        <f>_xlfn.XLOOKUP('Raw Data'!D446,$V$2:$V$5,$W$2:$W$5,,1)</f>
        <v>23 - 27</v>
      </c>
      <c r="E446">
        <v>1996</v>
      </c>
      <c r="F446" t="str">
        <f>_xlfn.XLOOKUP('Raw Data'!F446,$Q$2:$Q$9,$R$2:$R$9,,1)</f>
        <v>25 - 30</v>
      </c>
      <c r="G446">
        <v>494</v>
      </c>
    </row>
    <row r="447" spans="1:7" x14ac:dyDescent="0.25">
      <c r="A447" t="str">
        <f>_xlfn.XLOOKUP('Raw Data'!A447,$M$2:$M$11,$N$2:$N$11,,1)</f>
        <v>38 - 43</v>
      </c>
      <c r="B447" t="str">
        <f>_xlfn.XLOOKUP('Raw Data'!B447,$Q$2:$Q$9,$R$2:$R$9,,1)</f>
        <v>20 - 25</v>
      </c>
      <c r="C447">
        <v>1</v>
      </c>
      <c r="D447" t="str">
        <f>_xlfn.XLOOKUP('Raw Data'!D447,$V$2:$V$5,$W$2:$W$5,,1)</f>
        <v>19 - 23</v>
      </c>
      <c r="E447">
        <v>1992</v>
      </c>
      <c r="F447" t="str">
        <f>_xlfn.XLOOKUP('Raw Data'!F447,$Q$2:$Q$9,$R$2:$R$9,,1)</f>
        <v>30 - 35</v>
      </c>
      <c r="G447">
        <v>491.3</v>
      </c>
    </row>
    <row r="448" spans="1:7" x14ac:dyDescent="0.25">
      <c r="A448" t="str">
        <f>_xlfn.XLOOKUP('Raw Data'!A448,$M$2:$M$11,$N$2:$N$11,,1)</f>
        <v>23 - 28</v>
      </c>
      <c r="B448" t="str">
        <f>_xlfn.XLOOKUP('Raw Data'!B448,$Q$2:$Q$9,$R$2:$R$9,,1)</f>
        <v>5 - 10</v>
      </c>
      <c r="C448">
        <v>4</v>
      </c>
      <c r="D448" t="str">
        <f>_xlfn.XLOOKUP('Raw Data'!D448,$V$2:$V$5,$W$2:$W$5,,1)</f>
        <v>11 - 15</v>
      </c>
      <c r="E448">
        <v>1999</v>
      </c>
      <c r="F448" t="str">
        <f>_xlfn.XLOOKUP('Raw Data'!F448,$Q$2:$Q$9,$R$2:$R$9,,1)</f>
        <v>25 - 30</v>
      </c>
      <c r="G448">
        <v>501.65</v>
      </c>
    </row>
    <row r="449" spans="1:7" x14ac:dyDescent="0.25">
      <c r="A449" t="str">
        <f>_xlfn.XLOOKUP('Raw Data'!A449,$M$2:$M$11,$N$2:$N$11,,1)</f>
        <v>28 - 33</v>
      </c>
      <c r="B449" t="str">
        <f>_xlfn.XLOOKUP('Raw Data'!B449,$Q$2:$Q$9,$R$2:$R$9,,1)</f>
        <v>10 - 15</v>
      </c>
      <c r="C449">
        <v>4</v>
      </c>
      <c r="D449" t="str">
        <f>_xlfn.XLOOKUP('Raw Data'!D449,$V$2:$V$5,$W$2:$W$5,,1)</f>
        <v>19 - 23</v>
      </c>
      <c r="E449">
        <v>2023</v>
      </c>
      <c r="F449" t="str">
        <f>_xlfn.XLOOKUP('Raw Data'!F449,$Q$2:$Q$9,$R$2:$R$9,,1)</f>
        <v>0 - 5</v>
      </c>
      <c r="G449">
        <v>498.15</v>
      </c>
    </row>
    <row r="450" spans="1:7" x14ac:dyDescent="0.25">
      <c r="A450" t="str">
        <f>_xlfn.XLOOKUP('Raw Data'!A450,$M$2:$M$11,$N$2:$N$11,,1)</f>
        <v>18 - 23</v>
      </c>
      <c r="B450" t="str">
        <f>_xlfn.XLOOKUP('Raw Data'!B450,$Q$2:$Q$9,$R$2:$R$9,,1)</f>
        <v>0 - 5</v>
      </c>
      <c r="C450">
        <v>3</v>
      </c>
      <c r="D450" t="str">
        <f>_xlfn.XLOOKUP('Raw Data'!D450,$V$2:$V$5,$W$2:$W$5,,1)</f>
        <v>11 - 15</v>
      </c>
      <c r="E450">
        <v>2014</v>
      </c>
      <c r="F450" t="str">
        <f>_xlfn.XLOOKUP('Raw Data'!F450,$Q$2:$Q$9,$R$2:$R$9,,1)</f>
        <v>10 - 15</v>
      </c>
      <c r="G450">
        <v>502.55</v>
      </c>
    </row>
    <row r="451" spans="1:7" x14ac:dyDescent="0.25">
      <c r="A451" t="str">
        <f>_xlfn.XLOOKUP('Raw Data'!A451,$M$2:$M$11,$N$2:$N$11,,1)</f>
        <v>18 - 23</v>
      </c>
      <c r="B451" t="str">
        <f>_xlfn.XLOOKUP('Raw Data'!B451,$Q$2:$Q$9,$R$2:$R$9,,1)</f>
        <v>0 - 5</v>
      </c>
      <c r="C451">
        <v>0</v>
      </c>
      <c r="D451" t="str">
        <f>_xlfn.XLOOKUP('Raw Data'!D451,$V$2:$V$5,$W$2:$W$5,,1)</f>
        <v>15 - 19</v>
      </c>
      <c r="E451">
        <v>2024</v>
      </c>
      <c r="F451" t="str">
        <f>_xlfn.XLOOKUP('Raw Data'!F451,$Q$2:$Q$9,$R$2:$R$9,,1)</f>
        <v>0 - 5</v>
      </c>
      <c r="G451">
        <v>497.35</v>
      </c>
    </row>
    <row r="452" spans="1:7" x14ac:dyDescent="0.25">
      <c r="A452" t="str">
        <f>_xlfn.XLOOKUP('Raw Data'!A452,$M$2:$M$11,$N$2:$N$11,,1)</f>
        <v>63 - 68</v>
      </c>
      <c r="B452" t="str">
        <f>_xlfn.XLOOKUP('Raw Data'!B452,$Q$2:$Q$9,$R$2:$R$9,,1)</f>
        <v>35 - 40</v>
      </c>
      <c r="C452">
        <v>2</v>
      </c>
      <c r="D452" t="str">
        <f>_xlfn.XLOOKUP('Raw Data'!D452,$V$2:$V$5,$W$2:$W$5,,1)</f>
        <v>19 - 23</v>
      </c>
      <c r="E452">
        <v>2005</v>
      </c>
      <c r="F452" t="str">
        <f>_xlfn.XLOOKUP('Raw Data'!F452,$Q$2:$Q$9,$R$2:$R$9,,1)</f>
        <v>15 - 20</v>
      </c>
      <c r="G452">
        <v>481.65</v>
      </c>
    </row>
    <row r="453" spans="1:7" x14ac:dyDescent="0.25">
      <c r="A453" t="str">
        <f>_xlfn.XLOOKUP('Raw Data'!A453,$M$2:$M$11,$N$2:$N$11,,1)</f>
        <v>48 - 53</v>
      </c>
      <c r="B453" t="str">
        <f>_xlfn.XLOOKUP('Raw Data'!B453,$Q$2:$Q$9,$R$2:$R$9,,1)</f>
        <v>20 - 25</v>
      </c>
      <c r="C453">
        <v>0</v>
      </c>
      <c r="D453" t="str">
        <f>_xlfn.XLOOKUP('Raw Data'!D453,$V$2:$V$5,$W$2:$W$5,,1)</f>
        <v>23 - 27</v>
      </c>
      <c r="E453">
        <v>1991</v>
      </c>
      <c r="F453" t="str">
        <f>_xlfn.XLOOKUP('Raw Data'!F453,$Q$2:$Q$9,$R$2:$R$9,,1)</f>
        <v>30 - 35</v>
      </c>
      <c r="G453">
        <v>486.95</v>
      </c>
    </row>
    <row r="454" spans="1:7" x14ac:dyDescent="0.25">
      <c r="A454" t="str">
        <f>_xlfn.XLOOKUP('Raw Data'!A454,$M$2:$M$11,$N$2:$N$11,,1)</f>
        <v>48 - 53</v>
      </c>
      <c r="B454" t="str">
        <f>_xlfn.XLOOKUP('Raw Data'!B454,$Q$2:$Q$9,$R$2:$R$9,,1)</f>
        <v>20 - 25</v>
      </c>
      <c r="C454">
        <v>3</v>
      </c>
      <c r="D454" t="str">
        <f>_xlfn.XLOOKUP('Raw Data'!D454,$V$2:$V$5,$W$2:$W$5,,1)</f>
        <v>19 - 23</v>
      </c>
      <c r="E454">
        <v>2013</v>
      </c>
      <c r="F454" t="str">
        <f>_xlfn.XLOOKUP('Raw Data'!F454,$Q$2:$Q$9,$R$2:$R$9,,1)</f>
        <v>10 - 15</v>
      </c>
      <c r="G454">
        <v>490.3</v>
      </c>
    </row>
    <row r="455" spans="1:7" x14ac:dyDescent="0.25">
      <c r="A455" t="str">
        <f>_xlfn.XLOOKUP('Raw Data'!A455,$M$2:$M$11,$N$2:$N$11,,1)</f>
        <v>63 - 68</v>
      </c>
      <c r="B455" t="str">
        <f>_xlfn.XLOOKUP('Raw Data'!B455,$Q$2:$Q$9,$R$2:$R$9,,1)</f>
        <v>35 - 40</v>
      </c>
      <c r="C455">
        <v>2</v>
      </c>
      <c r="D455" t="str">
        <f>_xlfn.XLOOKUP('Raw Data'!D455,$V$2:$V$5,$W$2:$W$5,,1)</f>
        <v>11 - 15</v>
      </c>
      <c r="E455">
        <v>1999</v>
      </c>
      <c r="F455" t="str">
        <f>_xlfn.XLOOKUP('Raw Data'!F455,$Q$2:$Q$9,$R$2:$R$9,,1)</f>
        <v>25 - 30</v>
      </c>
      <c r="G455">
        <v>481.95</v>
      </c>
    </row>
    <row r="456" spans="1:7" x14ac:dyDescent="0.25">
      <c r="A456" t="str">
        <f>_xlfn.XLOOKUP('Raw Data'!A456,$M$2:$M$11,$N$2:$N$11,,1)</f>
        <v>38 - 43</v>
      </c>
      <c r="B456" t="str">
        <f>_xlfn.XLOOKUP('Raw Data'!B456,$Q$2:$Q$9,$R$2:$R$9,,1)</f>
        <v>10 - 15</v>
      </c>
      <c r="C456">
        <v>4</v>
      </c>
      <c r="D456" t="str">
        <f>_xlfn.XLOOKUP('Raw Data'!D456,$V$2:$V$5,$W$2:$W$5,,1)</f>
        <v>11 - 15</v>
      </c>
      <c r="E456">
        <v>2011</v>
      </c>
      <c r="F456" t="str">
        <f>_xlfn.XLOOKUP('Raw Data'!F456,$Q$2:$Q$9,$R$2:$R$9,,1)</f>
        <v>10 - 15</v>
      </c>
      <c r="G456">
        <v>495.55</v>
      </c>
    </row>
    <row r="457" spans="1:7" x14ac:dyDescent="0.25">
      <c r="A457" t="str">
        <f>_xlfn.XLOOKUP('Raw Data'!A457,$M$2:$M$11,$N$2:$N$11,,1)</f>
        <v>53 - 58</v>
      </c>
      <c r="B457" t="str">
        <f>_xlfn.XLOOKUP('Raw Data'!B457,$Q$2:$Q$9,$R$2:$R$9,,1)</f>
        <v>0 - 5</v>
      </c>
      <c r="C457">
        <v>3</v>
      </c>
      <c r="D457" t="str">
        <f>_xlfn.XLOOKUP('Raw Data'!D457,$V$2:$V$5,$W$2:$W$5,,1)</f>
        <v>23 - 27</v>
      </c>
      <c r="E457">
        <v>2015</v>
      </c>
      <c r="F457" t="str">
        <f>_xlfn.XLOOKUP('Raw Data'!F457,$Q$2:$Q$9,$R$2:$R$9,,1)</f>
        <v>5 - 10</v>
      </c>
      <c r="G457">
        <v>494.4</v>
      </c>
    </row>
    <row r="458" spans="1:7" x14ac:dyDescent="0.25">
      <c r="A458" t="str">
        <f>_xlfn.XLOOKUP('Raw Data'!A458,$M$2:$M$11,$N$2:$N$11,,1)</f>
        <v>58 - 63</v>
      </c>
      <c r="B458" t="str">
        <f>_xlfn.XLOOKUP('Raw Data'!B458,$Q$2:$Q$9,$R$2:$R$9,,1)</f>
        <v>25 - 30</v>
      </c>
      <c r="C458">
        <v>4</v>
      </c>
      <c r="D458" t="str">
        <f>_xlfn.XLOOKUP('Raw Data'!D458,$V$2:$V$5,$W$2:$W$5,,1)</f>
        <v>11 - 15</v>
      </c>
      <c r="E458">
        <v>2016</v>
      </c>
      <c r="F458" t="str">
        <f>_xlfn.XLOOKUP('Raw Data'!F458,$Q$2:$Q$9,$R$2:$R$9,,1)</f>
        <v>5 - 10</v>
      </c>
      <c r="G458">
        <v>486.65</v>
      </c>
    </row>
    <row r="459" spans="1:7" x14ac:dyDescent="0.25">
      <c r="A459" t="str">
        <f>_xlfn.XLOOKUP('Raw Data'!A459,$M$2:$M$11,$N$2:$N$11,,1)</f>
        <v>18 - 23</v>
      </c>
      <c r="B459" t="str">
        <f>_xlfn.XLOOKUP('Raw Data'!B459,$Q$2:$Q$9,$R$2:$R$9,,1)</f>
        <v>0 - 5</v>
      </c>
      <c r="C459">
        <v>1</v>
      </c>
      <c r="D459" t="str">
        <f>_xlfn.XLOOKUP('Raw Data'!D459,$V$2:$V$5,$W$2:$W$5,,1)</f>
        <v>23 - 27</v>
      </c>
      <c r="E459">
        <v>2018</v>
      </c>
      <c r="F459" t="str">
        <f>_xlfn.XLOOKUP('Raw Data'!F459,$Q$2:$Q$9,$R$2:$R$9,,1)</f>
        <v>5 - 10</v>
      </c>
      <c r="G459">
        <v>499.85</v>
      </c>
    </row>
    <row r="460" spans="1:7" x14ac:dyDescent="0.25">
      <c r="A460" t="str">
        <f>_xlfn.XLOOKUP('Raw Data'!A460,$M$2:$M$11,$N$2:$N$11,,1)</f>
        <v>28 - 33</v>
      </c>
      <c r="B460" t="str">
        <f>_xlfn.XLOOKUP('Raw Data'!B460,$Q$2:$Q$9,$R$2:$R$9,,1)</f>
        <v>10 - 15</v>
      </c>
      <c r="C460">
        <v>5</v>
      </c>
      <c r="D460" t="str">
        <f>_xlfn.XLOOKUP('Raw Data'!D460,$V$2:$V$5,$W$2:$W$5,,1)</f>
        <v>23 - 27</v>
      </c>
      <c r="E460">
        <v>2009</v>
      </c>
      <c r="F460" t="str">
        <f>_xlfn.XLOOKUP('Raw Data'!F460,$Q$2:$Q$9,$R$2:$R$9,,1)</f>
        <v>15 - 20</v>
      </c>
      <c r="G460">
        <v>499.25</v>
      </c>
    </row>
    <row r="461" spans="1:7" x14ac:dyDescent="0.25">
      <c r="A461" t="str">
        <f>_xlfn.XLOOKUP('Raw Data'!A461,$M$2:$M$11,$N$2:$N$11,,1)</f>
        <v>53 - 58</v>
      </c>
      <c r="B461" t="str">
        <f>_xlfn.XLOOKUP('Raw Data'!B461,$Q$2:$Q$9,$R$2:$R$9,,1)</f>
        <v>10 - 15</v>
      </c>
      <c r="C461">
        <v>3</v>
      </c>
      <c r="D461" t="str">
        <f>_xlfn.XLOOKUP('Raw Data'!D461,$V$2:$V$5,$W$2:$W$5,,1)</f>
        <v>15 - 19</v>
      </c>
      <c r="E461">
        <v>2016</v>
      </c>
      <c r="F461" t="str">
        <f>_xlfn.XLOOKUP('Raw Data'!F461,$Q$2:$Q$9,$R$2:$R$9,,1)</f>
        <v>5 - 10</v>
      </c>
      <c r="G461">
        <v>491.55</v>
      </c>
    </row>
    <row r="462" spans="1:7" x14ac:dyDescent="0.25">
      <c r="A462" t="str">
        <f>_xlfn.XLOOKUP('Raw Data'!A462,$M$2:$M$11,$N$2:$N$11,,1)</f>
        <v>18 - 23</v>
      </c>
      <c r="B462" t="str">
        <f>_xlfn.XLOOKUP('Raw Data'!B462,$Q$2:$Q$9,$R$2:$R$9,,1)</f>
        <v>0 - 5</v>
      </c>
      <c r="C462">
        <v>1</v>
      </c>
      <c r="D462" t="str">
        <f>_xlfn.XLOOKUP('Raw Data'!D462,$V$2:$V$5,$W$2:$W$5,,1)</f>
        <v>15 - 19</v>
      </c>
      <c r="E462">
        <v>2009</v>
      </c>
      <c r="F462" t="str">
        <f>_xlfn.XLOOKUP('Raw Data'!F462,$Q$2:$Q$9,$R$2:$R$9,,1)</f>
        <v>15 - 20</v>
      </c>
      <c r="G462">
        <v>498.35</v>
      </c>
    </row>
    <row r="463" spans="1:7" x14ac:dyDescent="0.25">
      <c r="A463" t="str">
        <f>_xlfn.XLOOKUP('Raw Data'!A463,$M$2:$M$11,$N$2:$N$11,,1)</f>
        <v>38 - 43</v>
      </c>
      <c r="B463" t="str">
        <f>_xlfn.XLOOKUP('Raw Data'!B463,$Q$2:$Q$9,$R$2:$R$9,,1)</f>
        <v>20 - 25</v>
      </c>
      <c r="C463">
        <v>3</v>
      </c>
      <c r="D463" t="str">
        <f>_xlfn.XLOOKUP('Raw Data'!D463,$V$2:$V$5,$W$2:$W$5,,1)</f>
        <v>15 - 19</v>
      </c>
      <c r="E463">
        <v>2008</v>
      </c>
      <c r="F463" t="str">
        <f>_xlfn.XLOOKUP('Raw Data'!F463,$Q$2:$Q$9,$R$2:$R$9,,1)</f>
        <v>15 - 20</v>
      </c>
      <c r="G463">
        <v>493</v>
      </c>
    </row>
    <row r="464" spans="1:7" x14ac:dyDescent="0.25">
      <c r="A464" t="str">
        <f>_xlfn.XLOOKUP('Raw Data'!A464,$M$2:$M$11,$N$2:$N$11,,1)</f>
        <v>43 - 48</v>
      </c>
      <c r="B464" t="str">
        <f>_xlfn.XLOOKUP('Raw Data'!B464,$Q$2:$Q$9,$R$2:$R$9,,1)</f>
        <v>10 - 15</v>
      </c>
      <c r="C464">
        <v>3</v>
      </c>
      <c r="D464" t="str">
        <f>_xlfn.XLOOKUP('Raw Data'!D464,$V$2:$V$5,$W$2:$W$5,,1)</f>
        <v>15 - 19</v>
      </c>
      <c r="E464">
        <v>2009</v>
      </c>
      <c r="F464" t="str">
        <f>_xlfn.XLOOKUP('Raw Data'!F464,$Q$2:$Q$9,$R$2:$R$9,,1)</f>
        <v>15 - 20</v>
      </c>
      <c r="G464">
        <v>493.35</v>
      </c>
    </row>
    <row r="465" spans="1:7" x14ac:dyDescent="0.25">
      <c r="A465" t="str">
        <f>_xlfn.XLOOKUP('Raw Data'!A465,$M$2:$M$11,$N$2:$N$11,,1)</f>
        <v>18 - 23</v>
      </c>
      <c r="B465" t="str">
        <f>_xlfn.XLOOKUP('Raw Data'!B465,$Q$2:$Q$9,$R$2:$R$9,,1)</f>
        <v>0 - 5</v>
      </c>
      <c r="C465">
        <v>1</v>
      </c>
      <c r="D465" t="str">
        <f>_xlfn.XLOOKUP('Raw Data'!D465,$V$2:$V$5,$W$2:$W$5,,1)</f>
        <v>15 - 19</v>
      </c>
      <c r="E465">
        <v>2024</v>
      </c>
      <c r="F465" t="str">
        <f>_xlfn.XLOOKUP('Raw Data'!F465,$Q$2:$Q$9,$R$2:$R$9,,1)</f>
        <v>0 - 5</v>
      </c>
      <c r="G465">
        <v>498.1</v>
      </c>
    </row>
    <row r="466" spans="1:7" x14ac:dyDescent="0.25">
      <c r="A466" t="str">
        <f>_xlfn.XLOOKUP('Raw Data'!A466,$M$2:$M$11,$N$2:$N$11,,1)</f>
        <v>28 - 33</v>
      </c>
      <c r="B466" t="str">
        <f>_xlfn.XLOOKUP('Raw Data'!B466,$Q$2:$Q$9,$R$2:$R$9,,1)</f>
        <v>10 - 15</v>
      </c>
      <c r="C466">
        <v>2</v>
      </c>
      <c r="D466" t="str">
        <f>_xlfn.XLOOKUP('Raw Data'!D466,$V$2:$V$5,$W$2:$W$5,,1)</f>
        <v>19 - 23</v>
      </c>
      <c r="E466">
        <v>1991</v>
      </c>
      <c r="F466" t="str">
        <f>_xlfn.XLOOKUP('Raw Data'!F466,$Q$2:$Q$9,$R$2:$R$9,,1)</f>
        <v>30 - 35</v>
      </c>
      <c r="G466">
        <v>498.4</v>
      </c>
    </row>
    <row r="467" spans="1:7" x14ac:dyDescent="0.25">
      <c r="A467" t="str">
        <f>_xlfn.XLOOKUP('Raw Data'!A467,$M$2:$M$11,$N$2:$N$11,,1)</f>
        <v>38 - 43</v>
      </c>
      <c r="B467" t="str">
        <f>_xlfn.XLOOKUP('Raw Data'!B467,$Q$2:$Q$9,$R$2:$R$9,,1)</f>
        <v>20 - 25</v>
      </c>
      <c r="C467">
        <v>0</v>
      </c>
      <c r="D467" t="str">
        <f>_xlfn.XLOOKUP('Raw Data'!D467,$V$2:$V$5,$W$2:$W$5,,1)</f>
        <v>11 - 15</v>
      </c>
      <c r="E467">
        <v>2019</v>
      </c>
      <c r="F467" t="str">
        <f>_xlfn.XLOOKUP('Raw Data'!F467,$Q$2:$Q$9,$R$2:$R$9,,1)</f>
        <v>5 - 10</v>
      </c>
      <c r="G467">
        <v>485.25</v>
      </c>
    </row>
    <row r="468" spans="1:7" x14ac:dyDescent="0.25">
      <c r="A468" t="str">
        <f>_xlfn.XLOOKUP('Raw Data'!A468,$M$2:$M$11,$N$2:$N$11,,1)</f>
        <v>28 - 33</v>
      </c>
      <c r="B468" t="str">
        <f>_xlfn.XLOOKUP('Raw Data'!B468,$Q$2:$Q$9,$R$2:$R$9,,1)</f>
        <v>10 - 15</v>
      </c>
      <c r="C468">
        <v>4</v>
      </c>
      <c r="D468" t="str">
        <f>_xlfn.XLOOKUP('Raw Data'!D468,$V$2:$V$5,$W$2:$W$5,,1)</f>
        <v>15 - 19</v>
      </c>
      <c r="E468">
        <v>2023</v>
      </c>
      <c r="F468" t="str">
        <f>_xlfn.XLOOKUP('Raw Data'!F468,$Q$2:$Q$9,$R$2:$R$9,,1)</f>
        <v>0 - 5</v>
      </c>
      <c r="G468">
        <v>495.9</v>
      </c>
    </row>
    <row r="469" spans="1:7" x14ac:dyDescent="0.25">
      <c r="A469" t="str">
        <f>_xlfn.XLOOKUP('Raw Data'!A469,$M$2:$M$11,$N$2:$N$11,,1)</f>
        <v>53 - 58</v>
      </c>
      <c r="B469" t="str">
        <f>_xlfn.XLOOKUP('Raw Data'!B469,$Q$2:$Q$9,$R$2:$R$9,,1)</f>
        <v>10 - 15</v>
      </c>
      <c r="C469">
        <v>3</v>
      </c>
      <c r="D469" t="str">
        <f>_xlfn.XLOOKUP('Raw Data'!D469,$V$2:$V$5,$W$2:$W$5,,1)</f>
        <v>19 - 23</v>
      </c>
      <c r="E469">
        <v>2011</v>
      </c>
      <c r="F469" t="str">
        <f>_xlfn.XLOOKUP('Raw Data'!F469,$Q$2:$Q$9,$R$2:$R$9,,1)</f>
        <v>10 - 15</v>
      </c>
      <c r="G469">
        <v>492.55</v>
      </c>
    </row>
    <row r="470" spans="1:7" x14ac:dyDescent="0.25">
      <c r="A470" t="str">
        <f>_xlfn.XLOOKUP('Raw Data'!A470,$M$2:$M$11,$N$2:$N$11,,1)</f>
        <v>38 - 43</v>
      </c>
      <c r="B470" t="str">
        <f>_xlfn.XLOOKUP('Raw Data'!B470,$Q$2:$Q$9,$R$2:$R$9,,1)</f>
        <v>10 - 15</v>
      </c>
      <c r="C470">
        <v>4</v>
      </c>
      <c r="D470" t="str">
        <f>_xlfn.XLOOKUP('Raw Data'!D470,$V$2:$V$5,$W$2:$W$5,,1)</f>
        <v>11 - 15</v>
      </c>
      <c r="E470">
        <v>1992</v>
      </c>
      <c r="F470" t="str">
        <f>_xlfn.XLOOKUP('Raw Data'!F470,$Q$2:$Q$9,$R$2:$R$9,,1)</f>
        <v>30 - 35</v>
      </c>
      <c r="G470">
        <v>498.5</v>
      </c>
    </row>
    <row r="471" spans="1:7" x14ac:dyDescent="0.25">
      <c r="A471" t="str">
        <f>_xlfn.XLOOKUP('Raw Data'!A471,$M$2:$M$11,$N$2:$N$11,,1)</f>
        <v>43 - 48</v>
      </c>
      <c r="B471" t="str">
        <f>_xlfn.XLOOKUP('Raw Data'!B471,$Q$2:$Q$9,$R$2:$R$9,,1)</f>
        <v>15 - 20</v>
      </c>
      <c r="C471">
        <v>5</v>
      </c>
      <c r="D471" t="str">
        <f>_xlfn.XLOOKUP('Raw Data'!D471,$V$2:$V$5,$W$2:$W$5,,1)</f>
        <v>11 - 15</v>
      </c>
      <c r="E471">
        <v>1995</v>
      </c>
      <c r="F471" t="str">
        <f>_xlfn.XLOOKUP('Raw Data'!F471,$Q$2:$Q$9,$R$2:$R$9,,1)</f>
        <v>25 - 30</v>
      </c>
      <c r="G471">
        <v>496.9</v>
      </c>
    </row>
    <row r="472" spans="1:7" x14ac:dyDescent="0.25">
      <c r="A472" t="str">
        <f>_xlfn.XLOOKUP('Raw Data'!A472,$M$2:$M$11,$N$2:$N$11,,1)</f>
        <v>28 - 33</v>
      </c>
      <c r="B472" t="str">
        <f>_xlfn.XLOOKUP('Raw Data'!B472,$Q$2:$Q$9,$R$2:$R$9,,1)</f>
        <v>10 - 15</v>
      </c>
      <c r="C472">
        <v>1</v>
      </c>
      <c r="D472" t="str">
        <f>_xlfn.XLOOKUP('Raw Data'!D472,$V$2:$V$5,$W$2:$W$5,,1)</f>
        <v>11 - 15</v>
      </c>
      <c r="E472">
        <v>2004</v>
      </c>
      <c r="F472" t="str">
        <f>_xlfn.XLOOKUP('Raw Data'!F472,$Q$2:$Q$9,$R$2:$R$9,,1)</f>
        <v>20 - 25</v>
      </c>
      <c r="G472">
        <v>494.15</v>
      </c>
    </row>
    <row r="473" spans="1:7" x14ac:dyDescent="0.25">
      <c r="A473" t="str">
        <f>_xlfn.XLOOKUP('Raw Data'!A473,$M$2:$M$11,$N$2:$N$11,,1)</f>
        <v>43 - 48</v>
      </c>
      <c r="B473" t="str">
        <f>_xlfn.XLOOKUP('Raw Data'!B473,$Q$2:$Q$9,$R$2:$R$9,,1)</f>
        <v>25 - 30</v>
      </c>
      <c r="C473">
        <v>4</v>
      </c>
      <c r="D473" t="str">
        <f>_xlfn.XLOOKUP('Raw Data'!D473,$V$2:$V$5,$W$2:$W$5,,1)</f>
        <v>19 - 23</v>
      </c>
      <c r="E473">
        <v>2016</v>
      </c>
      <c r="F473" t="str">
        <f>_xlfn.XLOOKUP('Raw Data'!F473,$Q$2:$Q$9,$R$2:$R$9,,1)</f>
        <v>5 - 10</v>
      </c>
      <c r="G473">
        <v>490.95</v>
      </c>
    </row>
    <row r="474" spans="1:7" x14ac:dyDescent="0.25">
      <c r="A474" t="str">
        <f>_xlfn.XLOOKUP('Raw Data'!A474,$M$2:$M$11,$N$2:$N$11,,1)</f>
        <v>18 - 23</v>
      </c>
      <c r="B474" t="str">
        <f>_xlfn.XLOOKUP('Raw Data'!B474,$Q$2:$Q$9,$R$2:$R$9,,1)</f>
        <v>0 - 5</v>
      </c>
      <c r="C474">
        <v>1</v>
      </c>
      <c r="D474" t="str">
        <f>_xlfn.XLOOKUP('Raw Data'!D474,$V$2:$V$5,$W$2:$W$5,,1)</f>
        <v>15 - 19</v>
      </c>
      <c r="E474">
        <v>1999</v>
      </c>
      <c r="F474" t="str">
        <f>_xlfn.XLOOKUP('Raw Data'!F474,$Q$2:$Q$9,$R$2:$R$9,,1)</f>
        <v>25 - 30</v>
      </c>
      <c r="G474">
        <v>499.35</v>
      </c>
    </row>
    <row r="475" spans="1:7" x14ac:dyDescent="0.25">
      <c r="A475" t="str">
        <f>_xlfn.XLOOKUP('Raw Data'!A475,$M$2:$M$11,$N$2:$N$11,,1)</f>
        <v>63 - 68</v>
      </c>
      <c r="B475" t="str">
        <f>_xlfn.XLOOKUP('Raw Data'!B475,$Q$2:$Q$9,$R$2:$R$9,,1)</f>
        <v>35 - 40</v>
      </c>
      <c r="C475">
        <v>4</v>
      </c>
      <c r="D475" t="str">
        <f>_xlfn.XLOOKUP('Raw Data'!D475,$V$2:$V$5,$W$2:$W$5,,1)</f>
        <v>15 - 19</v>
      </c>
      <c r="E475">
        <v>1998</v>
      </c>
      <c r="F475" t="str">
        <f>_xlfn.XLOOKUP('Raw Data'!F475,$Q$2:$Q$9,$R$2:$R$9,,1)</f>
        <v>25 - 30</v>
      </c>
      <c r="G475">
        <v>485.45</v>
      </c>
    </row>
    <row r="476" spans="1:7" x14ac:dyDescent="0.25">
      <c r="A476" t="str">
        <f>_xlfn.XLOOKUP('Raw Data'!A476,$M$2:$M$11,$N$2:$N$11,,1)</f>
        <v>43 - 48</v>
      </c>
      <c r="B476" t="str">
        <f>_xlfn.XLOOKUP('Raw Data'!B476,$Q$2:$Q$9,$R$2:$R$9,,1)</f>
        <v>25 - 30</v>
      </c>
      <c r="C476">
        <v>0</v>
      </c>
      <c r="D476" t="str">
        <f>_xlfn.XLOOKUP('Raw Data'!D476,$V$2:$V$5,$W$2:$W$5,,1)</f>
        <v>11 - 15</v>
      </c>
      <c r="E476">
        <v>2022</v>
      </c>
      <c r="F476" t="str">
        <f>_xlfn.XLOOKUP('Raw Data'!F476,$Q$2:$Q$9,$R$2:$R$9,,1)</f>
        <v>0 - 5</v>
      </c>
      <c r="G476">
        <v>483.25</v>
      </c>
    </row>
    <row r="477" spans="1:7" x14ac:dyDescent="0.25">
      <c r="A477" t="str">
        <f>_xlfn.XLOOKUP('Raw Data'!A477,$M$2:$M$11,$N$2:$N$11,,1)</f>
        <v>58 - 63</v>
      </c>
      <c r="B477" t="str">
        <f>_xlfn.XLOOKUP('Raw Data'!B477,$Q$2:$Q$9,$R$2:$R$9,,1)</f>
        <v>25 - 30</v>
      </c>
      <c r="C477">
        <v>0</v>
      </c>
      <c r="D477" t="str">
        <f>_xlfn.XLOOKUP('Raw Data'!D477,$V$2:$V$5,$W$2:$W$5,,1)</f>
        <v>15 - 19</v>
      </c>
      <c r="E477">
        <v>2021</v>
      </c>
      <c r="F477" t="str">
        <f>_xlfn.XLOOKUP('Raw Data'!F477,$Q$2:$Q$9,$R$2:$R$9,,1)</f>
        <v>0 - 5</v>
      </c>
      <c r="G477">
        <v>480.2</v>
      </c>
    </row>
    <row r="478" spans="1:7" x14ac:dyDescent="0.25">
      <c r="A478" t="str">
        <f>_xlfn.XLOOKUP('Raw Data'!A478,$M$2:$M$11,$N$2:$N$11,,1)</f>
        <v>18 - 23</v>
      </c>
      <c r="B478" t="str">
        <f>_xlfn.XLOOKUP('Raw Data'!B478,$Q$2:$Q$9,$R$2:$R$9,,1)</f>
        <v>0 - 5</v>
      </c>
      <c r="C478">
        <v>0</v>
      </c>
      <c r="D478" t="str">
        <f>_xlfn.XLOOKUP('Raw Data'!D478,$V$2:$V$5,$W$2:$W$5,,1)</f>
        <v>19 - 23</v>
      </c>
      <c r="E478">
        <v>1995</v>
      </c>
      <c r="F478" t="str">
        <f>_xlfn.XLOOKUP('Raw Data'!F478,$Q$2:$Q$9,$R$2:$R$9,,1)</f>
        <v>25 - 30</v>
      </c>
      <c r="G478">
        <v>498.4</v>
      </c>
    </row>
    <row r="479" spans="1:7" x14ac:dyDescent="0.25">
      <c r="A479" t="str">
        <f>_xlfn.XLOOKUP('Raw Data'!A479,$M$2:$M$11,$N$2:$N$11,,1)</f>
        <v>28 - 33</v>
      </c>
      <c r="B479" t="str">
        <f>_xlfn.XLOOKUP('Raw Data'!B479,$Q$2:$Q$9,$R$2:$R$9,,1)</f>
        <v>5 - 10</v>
      </c>
      <c r="C479">
        <v>0</v>
      </c>
      <c r="D479" t="str">
        <f>_xlfn.XLOOKUP('Raw Data'!D479,$V$2:$V$5,$W$2:$W$5,,1)</f>
        <v>23 - 27</v>
      </c>
      <c r="E479">
        <v>2025</v>
      </c>
      <c r="F479" t="str">
        <f>_xlfn.XLOOKUP('Raw Data'!F479,$Q$2:$Q$9,$R$2:$R$9,,1)</f>
        <v>0 - 5</v>
      </c>
      <c r="G479">
        <v>492.7</v>
      </c>
    </row>
    <row r="480" spans="1:7" x14ac:dyDescent="0.25">
      <c r="A480" t="str">
        <f>_xlfn.XLOOKUP('Raw Data'!A480,$M$2:$M$11,$N$2:$N$11,,1)</f>
        <v>28 - 33</v>
      </c>
      <c r="B480" t="str">
        <f>_xlfn.XLOOKUP('Raw Data'!B480,$Q$2:$Q$9,$R$2:$R$9,,1)</f>
        <v>10 - 15</v>
      </c>
      <c r="C480">
        <v>0</v>
      </c>
      <c r="D480" t="str">
        <f>_xlfn.XLOOKUP('Raw Data'!D480,$V$2:$V$5,$W$2:$W$5,,1)</f>
        <v>19 - 23</v>
      </c>
      <c r="E480">
        <v>1991</v>
      </c>
      <c r="F480" t="str">
        <f>_xlfn.XLOOKUP('Raw Data'!F480,$Q$2:$Q$9,$R$2:$R$9,,1)</f>
        <v>30 - 35</v>
      </c>
      <c r="G480">
        <v>493.4</v>
      </c>
    </row>
    <row r="481" spans="1:7" x14ac:dyDescent="0.25">
      <c r="A481" t="str">
        <f>_xlfn.XLOOKUP('Raw Data'!A481,$M$2:$M$11,$N$2:$N$11,,1)</f>
        <v>38 - 43</v>
      </c>
      <c r="B481" t="str">
        <f>_xlfn.XLOOKUP('Raw Data'!B481,$Q$2:$Q$9,$R$2:$R$9,,1)</f>
        <v>20 - 25</v>
      </c>
      <c r="C481">
        <v>0</v>
      </c>
      <c r="D481" t="str">
        <f>_xlfn.XLOOKUP('Raw Data'!D481,$V$2:$V$5,$W$2:$W$5,,1)</f>
        <v>19 - 23</v>
      </c>
      <c r="E481">
        <v>2018</v>
      </c>
      <c r="F481" t="str">
        <f>_xlfn.XLOOKUP('Raw Data'!F481,$Q$2:$Q$9,$R$2:$R$9,,1)</f>
        <v>5 - 10</v>
      </c>
      <c r="G481">
        <v>486</v>
      </c>
    </row>
    <row r="482" spans="1:7" x14ac:dyDescent="0.25">
      <c r="A482" t="str">
        <f>_xlfn.XLOOKUP('Raw Data'!A482,$M$2:$M$11,$N$2:$N$11,,1)</f>
        <v>38 - 43</v>
      </c>
      <c r="B482" t="str">
        <f>_xlfn.XLOOKUP('Raw Data'!B482,$Q$2:$Q$9,$R$2:$R$9,,1)</f>
        <v>20 - 25</v>
      </c>
      <c r="C482">
        <v>1</v>
      </c>
      <c r="D482" t="str">
        <f>_xlfn.XLOOKUP('Raw Data'!D482,$V$2:$V$5,$W$2:$W$5,,1)</f>
        <v>11 - 15</v>
      </c>
      <c r="E482">
        <v>1993</v>
      </c>
      <c r="F482" t="str">
        <f>_xlfn.XLOOKUP('Raw Data'!F482,$Q$2:$Q$9,$R$2:$R$9,,1)</f>
        <v>30 - 35</v>
      </c>
      <c r="G482">
        <v>489.2</v>
      </c>
    </row>
    <row r="483" spans="1:7" x14ac:dyDescent="0.25">
      <c r="A483" t="str">
        <f>_xlfn.XLOOKUP('Raw Data'!A483,$M$2:$M$11,$N$2:$N$11,,1)</f>
        <v>63 - 68</v>
      </c>
      <c r="B483" t="str">
        <f>_xlfn.XLOOKUP('Raw Data'!B483,$Q$2:$Q$9,$R$2:$R$9,,1)</f>
        <v>15 - 20</v>
      </c>
      <c r="C483">
        <v>3</v>
      </c>
      <c r="D483" t="str">
        <f>_xlfn.XLOOKUP('Raw Data'!D483,$V$2:$V$5,$W$2:$W$5,,1)</f>
        <v>11 - 15</v>
      </c>
      <c r="E483">
        <v>1990</v>
      </c>
      <c r="F483" t="str">
        <f>_xlfn.XLOOKUP('Raw Data'!F483,$Q$2:$Q$9,$R$2:$R$9,,1)</f>
        <v>30 - 35</v>
      </c>
      <c r="G483">
        <v>489.95</v>
      </c>
    </row>
    <row r="484" spans="1:7" x14ac:dyDescent="0.25">
      <c r="A484" t="str">
        <f>_xlfn.XLOOKUP('Raw Data'!A484,$M$2:$M$11,$N$2:$N$11,,1)</f>
        <v>33 - 38</v>
      </c>
      <c r="B484" t="str">
        <f>_xlfn.XLOOKUP('Raw Data'!B484,$Q$2:$Q$9,$R$2:$R$9,,1)</f>
        <v>0 - 5</v>
      </c>
      <c r="C484">
        <v>4</v>
      </c>
      <c r="D484" t="str">
        <f>_xlfn.XLOOKUP('Raw Data'!D484,$V$2:$V$5,$W$2:$W$5,,1)</f>
        <v>11 - 15</v>
      </c>
      <c r="E484">
        <v>2008</v>
      </c>
      <c r="F484" t="str">
        <f>_xlfn.XLOOKUP('Raw Data'!F484,$Q$2:$Q$9,$R$2:$R$9,,1)</f>
        <v>15 - 20</v>
      </c>
      <c r="G484">
        <v>499.55</v>
      </c>
    </row>
    <row r="485" spans="1:7" x14ac:dyDescent="0.25">
      <c r="A485" t="str">
        <f>_xlfn.XLOOKUP('Raw Data'!A485,$M$2:$M$11,$N$2:$N$11,,1)</f>
        <v>53 - 58</v>
      </c>
      <c r="B485" t="str">
        <f>_xlfn.XLOOKUP('Raw Data'!B485,$Q$2:$Q$9,$R$2:$R$9,,1)</f>
        <v>0 - 5</v>
      </c>
      <c r="C485">
        <v>0</v>
      </c>
      <c r="D485" t="str">
        <f>_xlfn.XLOOKUP('Raw Data'!D485,$V$2:$V$5,$W$2:$W$5,,1)</f>
        <v>19 - 23</v>
      </c>
      <c r="E485">
        <v>2015</v>
      </c>
      <c r="F485" t="str">
        <f>_xlfn.XLOOKUP('Raw Data'!F485,$Q$2:$Q$9,$R$2:$R$9,,1)</f>
        <v>5 - 10</v>
      </c>
      <c r="G485">
        <v>490.9</v>
      </c>
    </row>
    <row r="486" spans="1:7" x14ac:dyDescent="0.25">
      <c r="A486" t="str">
        <f>_xlfn.XLOOKUP('Raw Data'!A486,$M$2:$M$11,$N$2:$N$11,,1)</f>
        <v>48 - 53</v>
      </c>
      <c r="B486" t="str">
        <f>_xlfn.XLOOKUP('Raw Data'!B486,$Q$2:$Q$9,$R$2:$R$9,,1)</f>
        <v>25 - 30</v>
      </c>
      <c r="C486">
        <v>1</v>
      </c>
      <c r="D486" t="str">
        <f>_xlfn.XLOOKUP('Raw Data'!D486,$V$2:$V$5,$W$2:$W$5,,1)</f>
        <v>19 - 23</v>
      </c>
      <c r="E486">
        <v>2014</v>
      </c>
      <c r="F486" t="str">
        <f>_xlfn.XLOOKUP('Raw Data'!F486,$Q$2:$Q$9,$R$2:$R$9,,1)</f>
        <v>10 - 15</v>
      </c>
      <c r="G486">
        <v>484.4</v>
      </c>
    </row>
    <row r="487" spans="1:7" x14ac:dyDescent="0.25">
      <c r="A487" t="str">
        <f>_xlfn.XLOOKUP('Raw Data'!A487,$M$2:$M$11,$N$2:$N$11,,1)</f>
        <v>48 - 53</v>
      </c>
      <c r="B487" t="str">
        <f>_xlfn.XLOOKUP('Raw Data'!B487,$Q$2:$Q$9,$R$2:$R$9,,1)</f>
        <v>0 - 5</v>
      </c>
      <c r="C487">
        <v>1</v>
      </c>
      <c r="D487" t="str">
        <f>_xlfn.XLOOKUP('Raw Data'!D487,$V$2:$V$5,$W$2:$W$5,,1)</f>
        <v>23 - 27</v>
      </c>
      <c r="E487">
        <v>1999</v>
      </c>
      <c r="F487" t="str">
        <f>_xlfn.XLOOKUP('Raw Data'!F487,$Q$2:$Q$9,$R$2:$R$9,,1)</f>
        <v>25 - 30</v>
      </c>
      <c r="G487">
        <v>494.75</v>
      </c>
    </row>
    <row r="488" spans="1:7" x14ac:dyDescent="0.25">
      <c r="A488" t="str">
        <f>_xlfn.XLOOKUP('Raw Data'!A488,$M$2:$M$11,$N$2:$N$11,,1)</f>
        <v>43 - 48</v>
      </c>
      <c r="B488" t="str">
        <f>_xlfn.XLOOKUP('Raw Data'!B488,$Q$2:$Q$9,$R$2:$R$9,,1)</f>
        <v>10 - 15</v>
      </c>
      <c r="C488">
        <v>1</v>
      </c>
      <c r="D488" t="str">
        <f>_xlfn.XLOOKUP('Raw Data'!D488,$V$2:$V$5,$W$2:$W$5,,1)</f>
        <v>15 - 19</v>
      </c>
      <c r="E488">
        <v>2004</v>
      </c>
      <c r="F488" t="str">
        <f>_xlfn.XLOOKUP('Raw Data'!F488,$Q$2:$Q$9,$R$2:$R$9,,1)</f>
        <v>20 - 25</v>
      </c>
      <c r="G488">
        <v>491.25</v>
      </c>
    </row>
    <row r="489" spans="1:7" x14ac:dyDescent="0.25">
      <c r="A489" t="str">
        <f>_xlfn.XLOOKUP('Raw Data'!A489,$M$2:$M$11,$N$2:$N$11,,1)</f>
        <v>53 - 58</v>
      </c>
      <c r="B489" t="str">
        <f>_xlfn.XLOOKUP('Raw Data'!B489,$Q$2:$Q$9,$R$2:$R$9,,1)</f>
        <v>25 - 30</v>
      </c>
      <c r="C489">
        <v>3</v>
      </c>
      <c r="D489" t="str">
        <f>_xlfn.XLOOKUP('Raw Data'!D489,$V$2:$V$5,$W$2:$W$5,,1)</f>
        <v>23 - 27</v>
      </c>
      <c r="E489">
        <v>2011</v>
      </c>
      <c r="F489" t="str">
        <f>_xlfn.XLOOKUP('Raw Data'!F489,$Q$2:$Q$9,$R$2:$R$9,,1)</f>
        <v>10 - 15</v>
      </c>
      <c r="G489">
        <v>487.65</v>
      </c>
    </row>
    <row r="490" spans="1:7" x14ac:dyDescent="0.25">
      <c r="A490" t="str">
        <f>_xlfn.XLOOKUP('Raw Data'!A490,$M$2:$M$11,$N$2:$N$11,,1)</f>
        <v>38 - 43</v>
      </c>
      <c r="B490" t="str">
        <f>_xlfn.XLOOKUP('Raw Data'!B490,$Q$2:$Q$9,$R$2:$R$9,,1)</f>
        <v>0 - 5</v>
      </c>
      <c r="C490">
        <v>4</v>
      </c>
      <c r="D490" t="str">
        <f>_xlfn.XLOOKUP('Raw Data'!D490,$V$2:$V$5,$W$2:$W$5,,1)</f>
        <v>15 - 19</v>
      </c>
      <c r="E490">
        <v>2010</v>
      </c>
      <c r="F490" t="str">
        <f>_xlfn.XLOOKUP('Raw Data'!F490,$Q$2:$Q$9,$R$2:$R$9,,1)</f>
        <v>10 - 15</v>
      </c>
      <c r="G490">
        <v>499.45</v>
      </c>
    </row>
    <row r="491" spans="1:7" x14ac:dyDescent="0.25">
      <c r="A491" t="str">
        <f>_xlfn.XLOOKUP('Raw Data'!A491,$M$2:$M$11,$N$2:$N$11,,1)</f>
        <v>23 - 28</v>
      </c>
      <c r="B491" t="str">
        <f>_xlfn.XLOOKUP('Raw Data'!B491,$Q$2:$Q$9,$R$2:$R$9,,1)</f>
        <v>5 - 10</v>
      </c>
      <c r="C491">
        <v>3</v>
      </c>
      <c r="D491" t="str">
        <f>_xlfn.XLOOKUP('Raw Data'!D491,$V$2:$V$5,$W$2:$W$5,,1)</f>
        <v>15 - 19</v>
      </c>
      <c r="E491">
        <v>2011</v>
      </c>
      <c r="F491" t="str">
        <f>_xlfn.XLOOKUP('Raw Data'!F491,$Q$2:$Q$9,$R$2:$R$9,,1)</f>
        <v>10 - 15</v>
      </c>
      <c r="G491">
        <v>498.7</v>
      </c>
    </row>
    <row r="492" spans="1:7" x14ac:dyDescent="0.25">
      <c r="A492" t="str">
        <f>_xlfn.XLOOKUP('Raw Data'!A492,$M$2:$M$11,$N$2:$N$11,,1)</f>
        <v>18 - 23</v>
      </c>
      <c r="B492" t="str">
        <f>_xlfn.XLOOKUP('Raw Data'!B492,$Q$2:$Q$9,$R$2:$R$9,,1)</f>
        <v>0 - 5</v>
      </c>
      <c r="C492">
        <v>2</v>
      </c>
      <c r="D492" t="str">
        <f>_xlfn.XLOOKUP('Raw Data'!D492,$V$2:$V$5,$W$2:$W$5,,1)</f>
        <v>19 - 23</v>
      </c>
      <c r="E492">
        <v>2025</v>
      </c>
      <c r="F492" t="str">
        <f>_xlfn.XLOOKUP('Raw Data'!F492,$Q$2:$Q$9,$R$2:$R$9,,1)</f>
        <v>0 - 5</v>
      </c>
      <c r="G492">
        <v>498.45</v>
      </c>
    </row>
    <row r="493" spans="1:7" x14ac:dyDescent="0.25">
      <c r="A493" t="str">
        <f>_xlfn.XLOOKUP('Raw Data'!A493,$M$2:$M$11,$N$2:$N$11,,1)</f>
        <v>48 - 53</v>
      </c>
      <c r="B493" t="str">
        <f>_xlfn.XLOOKUP('Raw Data'!B493,$Q$2:$Q$9,$R$2:$R$9,,1)</f>
        <v>20 - 25</v>
      </c>
      <c r="C493">
        <v>1</v>
      </c>
      <c r="D493" t="str">
        <f>_xlfn.XLOOKUP('Raw Data'!D493,$V$2:$V$5,$W$2:$W$5,,1)</f>
        <v>19 - 23</v>
      </c>
      <c r="E493">
        <v>2023</v>
      </c>
      <c r="F493" t="str">
        <f>_xlfn.XLOOKUP('Raw Data'!F493,$Q$2:$Q$9,$R$2:$R$9,,1)</f>
        <v>0 - 5</v>
      </c>
      <c r="G493">
        <v>484.9</v>
      </c>
    </row>
    <row r="494" spans="1:7" x14ac:dyDescent="0.25">
      <c r="A494" t="str">
        <f>_xlfn.XLOOKUP('Raw Data'!A494,$M$2:$M$11,$N$2:$N$11,,1)</f>
        <v>48 - 53</v>
      </c>
      <c r="B494" t="str">
        <f>_xlfn.XLOOKUP('Raw Data'!B494,$Q$2:$Q$9,$R$2:$R$9,,1)</f>
        <v>0 - 5</v>
      </c>
      <c r="C494">
        <v>2</v>
      </c>
      <c r="D494" t="str">
        <f>_xlfn.XLOOKUP('Raw Data'!D494,$V$2:$V$5,$W$2:$W$5,,1)</f>
        <v>19 - 23</v>
      </c>
      <c r="E494">
        <v>2019</v>
      </c>
      <c r="F494" t="str">
        <f>_xlfn.XLOOKUP('Raw Data'!F494,$Q$2:$Q$9,$R$2:$R$9,,1)</f>
        <v>5 - 10</v>
      </c>
      <c r="G494">
        <v>494.45</v>
      </c>
    </row>
    <row r="495" spans="1:7" x14ac:dyDescent="0.25">
      <c r="A495" t="str">
        <f>_xlfn.XLOOKUP('Raw Data'!A495,$M$2:$M$11,$N$2:$N$11,,1)</f>
        <v>43 - 48</v>
      </c>
      <c r="B495" t="str">
        <f>_xlfn.XLOOKUP('Raw Data'!B495,$Q$2:$Q$9,$R$2:$R$9,,1)</f>
        <v>10 - 15</v>
      </c>
      <c r="C495">
        <v>5</v>
      </c>
      <c r="D495" t="str">
        <f>_xlfn.XLOOKUP('Raw Data'!D495,$V$2:$V$5,$W$2:$W$5,,1)</f>
        <v>15 - 19</v>
      </c>
      <c r="E495">
        <v>2014</v>
      </c>
      <c r="F495" t="str">
        <f>_xlfn.XLOOKUP('Raw Data'!F495,$Q$2:$Q$9,$R$2:$R$9,,1)</f>
        <v>10 - 15</v>
      </c>
      <c r="G495">
        <v>495.75</v>
      </c>
    </row>
    <row r="496" spans="1:7" x14ac:dyDescent="0.25">
      <c r="A496" t="str">
        <f>_xlfn.XLOOKUP('Raw Data'!A496,$M$2:$M$11,$N$2:$N$11,,1)</f>
        <v>23 - 28</v>
      </c>
      <c r="B496" t="str">
        <f>_xlfn.XLOOKUP('Raw Data'!B496,$Q$2:$Q$9,$R$2:$R$9,,1)</f>
        <v>5 - 10</v>
      </c>
      <c r="C496">
        <v>0</v>
      </c>
      <c r="D496" t="str">
        <f>_xlfn.XLOOKUP('Raw Data'!D496,$V$2:$V$5,$W$2:$W$5,,1)</f>
        <v>15 - 19</v>
      </c>
      <c r="E496">
        <v>2017</v>
      </c>
      <c r="F496" t="str">
        <f>_xlfn.XLOOKUP('Raw Data'!F496,$Q$2:$Q$9,$R$2:$R$9,,1)</f>
        <v>5 - 10</v>
      </c>
      <c r="G496">
        <v>493.8</v>
      </c>
    </row>
    <row r="497" spans="1:7" x14ac:dyDescent="0.25">
      <c r="A497" t="str">
        <f>_xlfn.XLOOKUP('Raw Data'!A497,$M$2:$M$11,$N$2:$N$11,,1)</f>
        <v>33 - 38</v>
      </c>
      <c r="B497" t="str">
        <f>_xlfn.XLOOKUP('Raw Data'!B497,$Q$2:$Q$9,$R$2:$R$9,,1)</f>
        <v>10 - 15</v>
      </c>
      <c r="C497">
        <v>0</v>
      </c>
      <c r="D497" t="str">
        <f>_xlfn.XLOOKUP('Raw Data'!D497,$V$2:$V$5,$W$2:$W$5,,1)</f>
        <v>11 - 15</v>
      </c>
      <c r="E497">
        <v>1990</v>
      </c>
      <c r="F497" t="str">
        <f>_xlfn.XLOOKUP('Raw Data'!F497,$Q$2:$Q$9,$R$2:$R$9,,1)</f>
        <v>30 - 35</v>
      </c>
      <c r="G497">
        <v>492.8</v>
      </c>
    </row>
    <row r="498" spans="1:7" x14ac:dyDescent="0.25">
      <c r="A498" t="str">
        <f>_xlfn.XLOOKUP('Raw Data'!A498,$M$2:$M$11,$N$2:$N$11,,1)</f>
        <v>48 - 53</v>
      </c>
      <c r="B498" t="str">
        <f>_xlfn.XLOOKUP('Raw Data'!B498,$Q$2:$Q$9,$R$2:$R$9,,1)</f>
        <v>20 - 25</v>
      </c>
      <c r="C498">
        <v>3</v>
      </c>
      <c r="D498" t="str">
        <f>_xlfn.XLOOKUP('Raw Data'!D498,$V$2:$V$5,$W$2:$W$5,,1)</f>
        <v>19 - 23</v>
      </c>
      <c r="E498">
        <v>1993</v>
      </c>
      <c r="F498" t="str">
        <f>_xlfn.XLOOKUP('Raw Data'!F498,$Q$2:$Q$9,$R$2:$R$9,,1)</f>
        <v>30 - 35</v>
      </c>
      <c r="G498">
        <v>492.1</v>
      </c>
    </row>
    <row r="499" spans="1:7" x14ac:dyDescent="0.25">
      <c r="A499" t="str">
        <f>_xlfn.XLOOKUP('Raw Data'!A499,$M$2:$M$11,$N$2:$N$11,,1)</f>
        <v>18 - 23</v>
      </c>
      <c r="B499" t="str">
        <f>_xlfn.XLOOKUP('Raw Data'!B499,$Q$2:$Q$9,$R$2:$R$9,,1)</f>
        <v>0 - 5</v>
      </c>
      <c r="C499">
        <v>4</v>
      </c>
      <c r="D499" t="str">
        <f>_xlfn.XLOOKUP('Raw Data'!D499,$V$2:$V$5,$W$2:$W$5,,1)</f>
        <v>11 - 15</v>
      </c>
      <c r="E499">
        <v>1996</v>
      </c>
      <c r="F499" t="str">
        <f>_xlfn.XLOOKUP('Raw Data'!F499,$Q$2:$Q$9,$R$2:$R$9,,1)</f>
        <v>25 - 30</v>
      </c>
      <c r="G499">
        <v>505.85</v>
      </c>
    </row>
    <row r="500" spans="1:7" x14ac:dyDescent="0.25">
      <c r="A500" t="str">
        <f>_xlfn.XLOOKUP('Raw Data'!A500,$M$2:$M$11,$N$2:$N$11,,1)</f>
        <v>18 - 23</v>
      </c>
      <c r="B500" t="str">
        <f>_xlfn.XLOOKUP('Raw Data'!B500,$Q$2:$Q$9,$R$2:$R$9,,1)</f>
        <v>0 - 5</v>
      </c>
      <c r="C500">
        <v>2</v>
      </c>
      <c r="D500" t="str">
        <f>_xlfn.XLOOKUP('Raw Data'!D500,$V$2:$V$5,$W$2:$W$5,,1)</f>
        <v>15 - 19</v>
      </c>
      <c r="E500">
        <v>1998</v>
      </c>
      <c r="F500" t="str">
        <f>_xlfn.XLOOKUP('Raw Data'!F500,$Q$2:$Q$9,$R$2:$R$9,,1)</f>
        <v>25 - 30</v>
      </c>
      <c r="G500">
        <v>501</v>
      </c>
    </row>
    <row r="501" spans="1:7" x14ac:dyDescent="0.25">
      <c r="A501" t="str">
        <f>_xlfn.XLOOKUP('Raw Data'!A501,$M$2:$M$11,$N$2:$N$11,,1)</f>
        <v>58 - 63</v>
      </c>
      <c r="B501" t="str">
        <f>_xlfn.XLOOKUP('Raw Data'!B501,$Q$2:$Q$9,$R$2:$R$9,,1)</f>
        <v>35 - 40</v>
      </c>
      <c r="C501">
        <v>4</v>
      </c>
      <c r="D501" t="str">
        <f>_xlfn.XLOOKUP('Raw Data'!D501,$V$2:$V$5,$W$2:$W$5,,1)</f>
        <v>15 - 19</v>
      </c>
      <c r="E501">
        <v>2025</v>
      </c>
      <c r="F501" t="str">
        <f>_xlfn.XLOOKUP('Raw Data'!F501,$Q$2:$Q$9,$R$2:$R$9,,1)</f>
        <v>0 - 5</v>
      </c>
      <c r="G501">
        <v>483.65</v>
      </c>
    </row>
    <row r="502" spans="1:7" x14ac:dyDescent="0.25">
      <c r="A502" t="str">
        <f>_xlfn.XLOOKUP('Raw Data'!A502,$M$2:$M$11,$N$2:$N$11,,1)</f>
        <v>18 - 23</v>
      </c>
      <c r="B502" t="str">
        <f>_xlfn.XLOOKUP('Raw Data'!B502,$Q$2:$Q$9,$R$2:$R$9,,1)</f>
        <v>0 - 5</v>
      </c>
      <c r="C502">
        <v>3</v>
      </c>
      <c r="D502" t="str">
        <f>_xlfn.XLOOKUP('Raw Data'!D502,$V$2:$V$5,$W$2:$W$5,,1)</f>
        <v>11 - 15</v>
      </c>
      <c r="E502">
        <v>2008</v>
      </c>
      <c r="F502" t="str">
        <f>_xlfn.XLOOKUP('Raw Data'!F502,$Q$2:$Q$9,$R$2:$R$9,,1)</f>
        <v>15 - 20</v>
      </c>
      <c r="G502">
        <v>501.7</v>
      </c>
    </row>
    <row r="503" spans="1:7" x14ac:dyDescent="0.25">
      <c r="A503" t="str">
        <f>_xlfn.XLOOKUP('Raw Data'!A503,$M$2:$M$11,$N$2:$N$11,,1)</f>
        <v>28 - 33</v>
      </c>
      <c r="B503" t="str">
        <f>_xlfn.XLOOKUP('Raw Data'!B503,$Q$2:$Q$9,$R$2:$R$9,,1)</f>
        <v>0 - 5</v>
      </c>
      <c r="C503">
        <v>0</v>
      </c>
      <c r="D503" t="str">
        <f>_xlfn.XLOOKUP('Raw Data'!D503,$V$2:$V$5,$W$2:$W$5,,1)</f>
        <v>15 - 19</v>
      </c>
      <c r="E503">
        <v>1990</v>
      </c>
      <c r="F503" t="str">
        <f>_xlfn.XLOOKUP('Raw Data'!F503,$Q$2:$Q$9,$R$2:$R$9,,1)</f>
        <v>30 - 35</v>
      </c>
      <c r="G503">
        <v>496.3</v>
      </c>
    </row>
    <row r="504" spans="1:7" x14ac:dyDescent="0.25">
      <c r="A504" t="str">
        <f>_xlfn.XLOOKUP('Raw Data'!A504,$M$2:$M$11,$N$2:$N$11,,1)</f>
        <v>38 - 43</v>
      </c>
      <c r="B504" t="str">
        <f>_xlfn.XLOOKUP('Raw Data'!B504,$Q$2:$Q$9,$R$2:$R$9,,1)</f>
        <v>20 - 25</v>
      </c>
      <c r="C504">
        <v>4</v>
      </c>
      <c r="D504" t="str">
        <f>_xlfn.XLOOKUP('Raw Data'!D504,$V$2:$V$5,$W$2:$W$5,,1)</f>
        <v>19 - 23</v>
      </c>
      <c r="E504">
        <v>1999</v>
      </c>
      <c r="F504" t="str">
        <f>_xlfn.XLOOKUP('Raw Data'!F504,$Q$2:$Q$9,$R$2:$R$9,,1)</f>
        <v>25 - 30</v>
      </c>
      <c r="G504">
        <v>494.6</v>
      </c>
    </row>
    <row r="505" spans="1:7" x14ac:dyDescent="0.25">
      <c r="A505" t="str">
        <f>_xlfn.XLOOKUP('Raw Data'!A505,$M$2:$M$11,$N$2:$N$11,,1)</f>
        <v>28 - 33</v>
      </c>
      <c r="B505" t="str">
        <f>_xlfn.XLOOKUP('Raw Data'!B505,$Q$2:$Q$9,$R$2:$R$9,,1)</f>
        <v>10 - 15</v>
      </c>
      <c r="C505">
        <v>4</v>
      </c>
      <c r="D505" t="str">
        <f>_xlfn.XLOOKUP('Raw Data'!D505,$V$2:$V$5,$W$2:$W$5,,1)</f>
        <v>11 - 15</v>
      </c>
      <c r="E505">
        <v>2025</v>
      </c>
      <c r="F505" t="str">
        <f>_xlfn.XLOOKUP('Raw Data'!F505,$Q$2:$Q$9,$R$2:$R$9,,1)</f>
        <v>0 - 5</v>
      </c>
      <c r="G505">
        <v>495.65</v>
      </c>
    </row>
    <row r="506" spans="1:7" x14ac:dyDescent="0.25">
      <c r="A506" t="str">
        <f>_xlfn.XLOOKUP('Raw Data'!A506,$M$2:$M$11,$N$2:$N$11,,1)</f>
        <v>18 - 23</v>
      </c>
      <c r="B506" t="str">
        <f>_xlfn.XLOOKUP('Raw Data'!B506,$Q$2:$Q$9,$R$2:$R$9,,1)</f>
        <v>0 - 5</v>
      </c>
      <c r="C506">
        <v>0</v>
      </c>
      <c r="D506" t="str">
        <f>_xlfn.XLOOKUP('Raw Data'!D506,$V$2:$V$5,$W$2:$W$5,,1)</f>
        <v>15 - 19</v>
      </c>
      <c r="E506">
        <v>1998</v>
      </c>
      <c r="F506" t="str">
        <f>_xlfn.XLOOKUP('Raw Data'!F506,$Q$2:$Q$9,$R$2:$R$9,,1)</f>
        <v>25 - 30</v>
      </c>
      <c r="G506">
        <v>499.45</v>
      </c>
    </row>
    <row r="507" spans="1:7" x14ac:dyDescent="0.25">
      <c r="A507" t="str">
        <f>_xlfn.XLOOKUP('Raw Data'!A507,$M$2:$M$11,$N$2:$N$11,,1)</f>
        <v>43 - 48</v>
      </c>
      <c r="B507" t="str">
        <f>_xlfn.XLOOKUP('Raw Data'!B507,$Q$2:$Q$9,$R$2:$R$9,,1)</f>
        <v>10 - 15</v>
      </c>
      <c r="C507">
        <v>2</v>
      </c>
      <c r="D507" t="str">
        <f>_xlfn.XLOOKUP('Raw Data'!D507,$V$2:$V$5,$W$2:$W$5,,1)</f>
        <v>11 - 15</v>
      </c>
      <c r="E507">
        <v>2021</v>
      </c>
      <c r="F507" t="str">
        <f>_xlfn.XLOOKUP('Raw Data'!F507,$Q$2:$Q$9,$R$2:$R$9,,1)</f>
        <v>0 - 5</v>
      </c>
      <c r="G507">
        <v>491.5</v>
      </c>
    </row>
    <row r="508" spans="1:7" x14ac:dyDescent="0.25">
      <c r="A508" t="str">
        <f>_xlfn.XLOOKUP('Raw Data'!A508,$M$2:$M$11,$N$2:$N$11,,1)</f>
        <v>48 - 53</v>
      </c>
      <c r="B508" t="str">
        <f>_xlfn.XLOOKUP('Raw Data'!B508,$Q$2:$Q$9,$R$2:$R$9,,1)</f>
        <v>30 - 35</v>
      </c>
      <c r="C508">
        <v>0</v>
      </c>
      <c r="D508" t="str">
        <f>_xlfn.XLOOKUP('Raw Data'!D508,$V$2:$V$5,$W$2:$W$5,,1)</f>
        <v>11 - 15</v>
      </c>
      <c r="E508">
        <v>2021</v>
      </c>
      <c r="F508" t="str">
        <f>_xlfn.XLOOKUP('Raw Data'!F508,$Q$2:$Q$9,$R$2:$R$9,,1)</f>
        <v>0 - 5</v>
      </c>
      <c r="G508">
        <v>482.05</v>
      </c>
    </row>
    <row r="509" spans="1:7" x14ac:dyDescent="0.25">
      <c r="A509" t="str">
        <f>_xlfn.XLOOKUP('Raw Data'!A509,$M$2:$M$11,$N$2:$N$11,,1)</f>
        <v>43 - 48</v>
      </c>
      <c r="B509" t="str">
        <f>_xlfn.XLOOKUP('Raw Data'!B509,$Q$2:$Q$9,$R$2:$R$9,,1)</f>
        <v>20 - 25</v>
      </c>
      <c r="C509">
        <v>4</v>
      </c>
      <c r="D509" t="str">
        <f>_xlfn.XLOOKUP('Raw Data'!D509,$V$2:$V$5,$W$2:$W$5,,1)</f>
        <v>15 - 19</v>
      </c>
      <c r="E509">
        <v>1995</v>
      </c>
      <c r="F509" t="str">
        <f>_xlfn.XLOOKUP('Raw Data'!F509,$Q$2:$Q$9,$R$2:$R$9,,1)</f>
        <v>25 - 30</v>
      </c>
      <c r="G509">
        <v>493.9</v>
      </c>
    </row>
    <row r="510" spans="1:7" x14ac:dyDescent="0.25">
      <c r="A510" t="str">
        <f>_xlfn.XLOOKUP('Raw Data'!A510,$M$2:$M$11,$N$2:$N$11,,1)</f>
        <v>33 - 38</v>
      </c>
      <c r="B510" t="str">
        <f>_xlfn.XLOOKUP('Raw Data'!B510,$Q$2:$Q$9,$R$2:$R$9,,1)</f>
        <v>5 - 10</v>
      </c>
      <c r="C510">
        <v>2</v>
      </c>
      <c r="D510" t="str">
        <f>_xlfn.XLOOKUP('Raw Data'!D510,$V$2:$V$5,$W$2:$W$5,,1)</f>
        <v>11 - 15</v>
      </c>
      <c r="E510">
        <v>2006</v>
      </c>
      <c r="F510" t="str">
        <f>_xlfn.XLOOKUP('Raw Data'!F510,$Q$2:$Q$9,$R$2:$R$9,,1)</f>
        <v>15 - 20</v>
      </c>
      <c r="G510">
        <v>496.25</v>
      </c>
    </row>
    <row r="511" spans="1:7" x14ac:dyDescent="0.25">
      <c r="A511" t="str">
        <f>_xlfn.XLOOKUP('Raw Data'!A511,$M$2:$M$11,$N$2:$N$11,,1)</f>
        <v>38 - 43</v>
      </c>
      <c r="B511" t="str">
        <f>_xlfn.XLOOKUP('Raw Data'!B511,$Q$2:$Q$9,$R$2:$R$9,,1)</f>
        <v>0 - 5</v>
      </c>
      <c r="C511">
        <v>2</v>
      </c>
      <c r="D511" t="str">
        <f>_xlfn.XLOOKUP('Raw Data'!D511,$V$2:$V$5,$W$2:$W$5,,1)</f>
        <v>11 - 15</v>
      </c>
      <c r="E511">
        <v>1999</v>
      </c>
      <c r="F511" t="str">
        <f>_xlfn.XLOOKUP('Raw Data'!F511,$Q$2:$Q$9,$R$2:$R$9,,1)</f>
        <v>25 - 30</v>
      </c>
      <c r="G511">
        <v>497.05</v>
      </c>
    </row>
    <row r="512" spans="1:7" x14ac:dyDescent="0.25">
      <c r="A512" t="str">
        <f>_xlfn.XLOOKUP('Raw Data'!A512,$M$2:$M$11,$N$2:$N$11,,1)</f>
        <v>28 - 33</v>
      </c>
      <c r="B512" t="str">
        <f>_xlfn.XLOOKUP('Raw Data'!B512,$Q$2:$Q$9,$R$2:$R$9,,1)</f>
        <v>5 - 10</v>
      </c>
      <c r="C512">
        <v>0</v>
      </c>
      <c r="D512" t="str">
        <f>_xlfn.XLOOKUP('Raw Data'!D512,$V$2:$V$5,$W$2:$W$5,,1)</f>
        <v>23 - 27</v>
      </c>
      <c r="E512">
        <v>2016</v>
      </c>
      <c r="F512" t="str">
        <f>_xlfn.XLOOKUP('Raw Data'!F512,$Q$2:$Q$9,$R$2:$R$9,,1)</f>
        <v>5 - 10</v>
      </c>
      <c r="G512">
        <v>494.25</v>
      </c>
    </row>
    <row r="513" spans="1:7" x14ac:dyDescent="0.25">
      <c r="A513" t="str">
        <f>_xlfn.XLOOKUP('Raw Data'!A513,$M$2:$M$11,$N$2:$N$11,,1)</f>
        <v>48 - 53</v>
      </c>
      <c r="B513" t="str">
        <f>_xlfn.XLOOKUP('Raw Data'!B513,$Q$2:$Q$9,$R$2:$R$9,,1)</f>
        <v>15 - 20</v>
      </c>
      <c r="C513">
        <v>4</v>
      </c>
      <c r="D513" t="str">
        <f>_xlfn.XLOOKUP('Raw Data'!D513,$V$2:$V$5,$W$2:$W$5,,1)</f>
        <v>11 - 15</v>
      </c>
      <c r="E513">
        <v>2024</v>
      </c>
      <c r="F513" t="str">
        <f>_xlfn.XLOOKUP('Raw Data'!F513,$Q$2:$Q$9,$R$2:$R$9,,1)</f>
        <v>0 - 5</v>
      </c>
      <c r="G513">
        <v>490.7</v>
      </c>
    </row>
    <row r="514" spans="1:7" x14ac:dyDescent="0.25">
      <c r="A514" t="str">
        <f>_xlfn.XLOOKUP('Raw Data'!A514,$M$2:$M$11,$N$2:$N$11,,1)</f>
        <v>48 - 53</v>
      </c>
      <c r="B514" t="str">
        <f>_xlfn.XLOOKUP('Raw Data'!B514,$Q$2:$Q$9,$R$2:$R$9,,1)</f>
        <v>25 - 30</v>
      </c>
      <c r="C514">
        <v>3</v>
      </c>
      <c r="D514" t="str">
        <f>_xlfn.XLOOKUP('Raw Data'!D514,$V$2:$V$5,$W$2:$W$5,,1)</f>
        <v>11 - 15</v>
      </c>
      <c r="E514">
        <v>2010</v>
      </c>
      <c r="F514" t="str">
        <f>_xlfn.XLOOKUP('Raw Data'!F514,$Q$2:$Q$9,$R$2:$R$9,,1)</f>
        <v>10 - 15</v>
      </c>
      <c r="G514">
        <v>488.25</v>
      </c>
    </row>
    <row r="515" spans="1:7" x14ac:dyDescent="0.25">
      <c r="A515" t="str">
        <f>_xlfn.XLOOKUP('Raw Data'!A515,$M$2:$M$11,$N$2:$N$11,,1)</f>
        <v>48 - 53</v>
      </c>
      <c r="B515" t="str">
        <f>_xlfn.XLOOKUP('Raw Data'!B515,$Q$2:$Q$9,$R$2:$R$9,,1)</f>
        <v>5 - 10</v>
      </c>
      <c r="C515">
        <v>4</v>
      </c>
      <c r="D515" t="str">
        <f>_xlfn.XLOOKUP('Raw Data'!D515,$V$2:$V$5,$W$2:$W$5,,1)</f>
        <v>19 - 23</v>
      </c>
      <c r="E515">
        <v>2014</v>
      </c>
      <c r="F515" t="str">
        <f>_xlfn.XLOOKUP('Raw Data'!F515,$Q$2:$Q$9,$R$2:$R$9,,1)</f>
        <v>10 - 15</v>
      </c>
      <c r="G515">
        <v>495.55</v>
      </c>
    </row>
    <row r="516" spans="1:7" x14ac:dyDescent="0.25">
      <c r="A516" t="str">
        <f>_xlfn.XLOOKUP('Raw Data'!A516,$M$2:$M$11,$N$2:$N$11,,1)</f>
        <v>58 - 63</v>
      </c>
      <c r="B516" t="str">
        <f>_xlfn.XLOOKUP('Raw Data'!B516,$Q$2:$Q$9,$R$2:$R$9,,1)</f>
        <v>30 - 35</v>
      </c>
      <c r="C516">
        <v>1</v>
      </c>
      <c r="D516" t="str">
        <f>_xlfn.XLOOKUP('Raw Data'!D516,$V$2:$V$5,$W$2:$W$5,,1)</f>
        <v>19 - 23</v>
      </c>
      <c r="E516">
        <v>2017</v>
      </c>
      <c r="F516" t="str">
        <f>_xlfn.XLOOKUP('Raw Data'!F516,$Q$2:$Q$9,$R$2:$R$9,,1)</f>
        <v>5 - 10</v>
      </c>
      <c r="G516">
        <v>481.4</v>
      </c>
    </row>
    <row r="517" spans="1:7" x14ac:dyDescent="0.25">
      <c r="A517" t="str">
        <f>_xlfn.XLOOKUP('Raw Data'!A517,$M$2:$M$11,$N$2:$N$11,,1)</f>
        <v>53 - 58</v>
      </c>
      <c r="B517" t="str">
        <f>_xlfn.XLOOKUP('Raw Data'!B517,$Q$2:$Q$9,$R$2:$R$9,,1)</f>
        <v>20 - 25</v>
      </c>
      <c r="C517">
        <v>5</v>
      </c>
      <c r="D517" t="str">
        <f>_xlfn.XLOOKUP('Raw Data'!D517,$V$2:$V$5,$W$2:$W$5,,1)</f>
        <v>19 - 23</v>
      </c>
      <c r="E517">
        <v>2004</v>
      </c>
      <c r="F517" t="str">
        <f>_xlfn.XLOOKUP('Raw Data'!F517,$Q$2:$Q$9,$R$2:$R$9,,1)</f>
        <v>20 - 25</v>
      </c>
      <c r="G517">
        <v>492.4</v>
      </c>
    </row>
    <row r="518" spans="1:7" x14ac:dyDescent="0.25">
      <c r="A518" t="str">
        <f>_xlfn.XLOOKUP('Raw Data'!A518,$M$2:$M$11,$N$2:$N$11,,1)</f>
        <v>28 - 33</v>
      </c>
      <c r="B518" t="str">
        <f>_xlfn.XLOOKUP('Raw Data'!B518,$Q$2:$Q$9,$R$2:$R$9,,1)</f>
        <v>10 - 15</v>
      </c>
      <c r="C518">
        <v>3</v>
      </c>
      <c r="D518" t="str">
        <f>_xlfn.XLOOKUP('Raw Data'!D518,$V$2:$V$5,$W$2:$W$5,,1)</f>
        <v>11 - 15</v>
      </c>
      <c r="E518">
        <v>1993</v>
      </c>
      <c r="F518" t="str">
        <f>_xlfn.XLOOKUP('Raw Data'!F518,$Q$2:$Q$9,$R$2:$R$9,,1)</f>
        <v>30 - 35</v>
      </c>
      <c r="G518">
        <v>499.2</v>
      </c>
    </row>
    <row r="519" spans="1:7" x14ac:dyDescent="0.25">
      <c r="A519" t="str">
        <f>_xlfn.XLOOKUP('Raw Data'!A519,$M$2:$M$11,$N$2:$N$11,,1)</f>
        <v>18 - 23</v>
      </c>
      <c r="B519" t="str">
        <f>_xlfn.XLOOKUP('Raw Data'!B519,$Q$2:$Q$9,$R$2:$R$9,,1)</f>
        <v>0 - 5</v>
      </c>
      <c r="C519">
        <v>2</v>
      </c>
      <c r="D519" t="str">
        <f>_xlfn.XLOOKUP('Raw Data'!D519,$V$2:$V$5,$W$2:$W$5,,1)</f>
        <v>19 - 23</v>
      </c>
      <c r="E519">
        <v>2018</v>
      </c>
      <c r="F519" t="str">
        <f>_xlfn.XLOOKUP('Raw Data'!F519,$Q$2:$Q$9,$R$2:$R$9,,1)</f>
        <v>5 - 10</v>
      </c>
      <c r="G519">
        <v>500.2</v>
      </c>
    </row>
    <row r="520" spans="1:7" x14ac:dyDescent="0.25">
      <c r="A520" t="str">
        <f>_xlfn.XLOOKUP('Raw Data'!A520,$M$2:$M$11,$N$2:$N$11,,1)</f>
        <v>18 - 23</v>
      </c>
      <c r="B520" t="str">
        <f>_xlfn.XLOOKUP('Raw Data'!B520,$Q$2:$Q$9,$R$2:$R$9,,1)</f>
        <v>0 - 5</v>
      </c>
      <c r="C520">
        <v>3</v>
      </c>
      <c r="D520" t="str">
        <f>_xlfn.XLOOKUP('Raw Data'!D520,$V$2:$V$5,$W$2:$W$5,,1)</f>
        <v>11 - 15</v>
      </c>
      <c r="E520">
        <v>1998</v>
      </c>
      <c r="F520" t="str">
        <f>_xlfn.XLOOKUP('Raw Data'!F520,$Q$2:$Q$9,$R$2:$R$9,,1)</f>
        <v>25 - 30</v>
      </c>
      <c r="G520">
        <v>504.25</v>
      </c>
    </row>
    <row r="521" spans="1:7" x14ac:dyDescent="0.25">
      <c r="A521" t="str">
        <f>_xlfn.XLOOKUP('Raw Data'!A521,$M$2:$M$11,$N$2:$N$11,,1)</f>
        <v>48 - 53</v>
      </c>
      <c r="B521" t="str">
        <f>_xlfn.XLOOKUP('Raw Data'!B521,$Q$2:$Q$9,$R$2:$R$9,,1)</f>
        <v>0 - 5</v>
      </c>
      <c r="C521">
        <v>2</v>
      </c>
      <c r="D521" t="str">
        <f>_xlfn.XLOOKUP('Raw Data'!D521,$V$2:$V$5,$W$2:$W$5,,1)</f>
        <v>19 - 23</v>
      </c>
      <c r="E521">
        <v>2016</v>
      </c>
      <c r="F521" t="str">
        <f>_xlfn.XLOOKUP('Raw Data'!F521,$Q$2:$Q$9,$R$2:$R$9,,1)</f>
        <v>5 - 10</v>
      </c>
      <c r="G521">
        <v>493.75</v>
      </c>
    </row>
    <row r="522" spans="1:7" x14ac:dyDescent="0.25">
      <c r="A522" t="str">
        <f>_xlfn.XLOOKUP('Raw Data'!A522,$M$2:$M$11,$N$2:$N$11,,1)</f>
        <v>53 - 58</v>
      </c>
      <c r="B522" t="str">
        <f>_xlfn.XLOOKUP('Raw Data'!B522,$Q$2:$Q$9,$R$2:$R$9,,1)</f>
        <v>0 - 5</v>
      </c>
      <c r="C522">
        <v>2</v>
      </c>
      <c r="D522" t="str">
        <f>_xlfn.XLOOKUP('Raw Data'!D522,$V$2:$V$5,$W$2:$W$5,,1)</f>
        <v>23 - 27</v>
      </c>
      <c r="E522">
        <v>2015</v>
      </c>
      <c r="F522" t="str">
        <f>_xlfn.XLOOKUP('Raw Data'!F522,$Q$2:$Q$9,$R$2:$R$9,,1)</f>
        <v>5 - 10</v>
      </c>
      <c r="G522">
        <v>492.65</v>
      </c>
    </row>
    <row r="523" spans="1:7" x14ac:dyDescent="0.25">
      <c r="A523" t="str">
        <f>_xlfn.XLOOKUP('Raw Data'!A523,$M$2:$M$11,$N$2:$N$11,,1)</f>
        <v>23 - 28</v>
      </c>
      <c r="B523" t="str">
        <f>_xlfn.XLOOKUP('Raw Data'!B523,$Q$2:$Q$9,$R$2:$R$9,,1)</f>
        <v>5 - 10</v>
      </c>
      <c r="C523">
        <v>3</v>
      </c>
      <c r="D523" t="str">
        <f>_xlfn.XLOOKUP('Raw Data'!D523,$V$2:$V$5,$W$2:$W$5,,1)</f>
        <v>23 - 27</v>
      </c>
      <c r="E523">
        <v>2008</v>
      </c>
      <c r="F523" t="str">
        <f>_xlfn.XLOOKUP('Raw Data'!F523,$Q$2:$Q$9,$R$2:$R$9,,1)</f>
        <v>15 - 20</v>
      </c>
      <c r="G523">
        <v>499.35</v>
      </c>
    </row>
    <row r="524" spans="1:7" x14ac:dyDescent="0.25">
      <c r="A524" t="str">
        <f>_xlfn.XLOOKUP('Raw Data'!A524,$M$2:$M$11,$N$2:$N$11,,1)</f>
        <v>58 - 63</v>
      </c>
      <c r="B524" t="str">
        <f>_xlfn.XLOOKUP('Raw Data'!B524,$Q$2:$Q$9,$R$2:$R$9,,1)</f>
        <v>5 - 10</v>
      </c>
      <c r="C524">
        <v>2</v>
      </c>
      <c r="D524" t="str">
        <f>_xlfn.XLOOKUP('Raw Data'!D524,$V$2:$V$5,$W$2:$W$5,,1)</f>
        <v>19 - 23</v>
      </c>
      <c r="E524">
        <v>2017</v>
      </c>
      <c r="F524" t="str">
        <f>_xlfn.XLOOKUP('Raw Data'!F524,$Q$2:$Q$9,$R$2:$R$9,,1)</f>
        <v>5 - 10</v>
      </c>
      <c r="G524">
        <v>490.45</v>
      </c>
    </row>
    <row r="525" spans="1:7" x14ac:dyDescent="0.25">
      <c r="A525" t="str">
        <f>_xlfn.XLOOKUP('Raw Data'!A525,$M$2:$M$11,$N$2:$N$11,,1)</f>
        <v>58 - 63</v>
      </c>
      <c r="B525" t="str">
        <f>_xlfn.XLOOKUP('Raw Data'!B525,$Q$2:$Q$9,$R$2:$R$9,,1)</f>
        <v>30 - 35</v>
      </c>
      <c r="C525">
        <v>2</v>
      </c>
      <c r="D525" t="str">
        <f>_xlfn.XLOOKUP('Raw Data'!D525,$V$2:$V$5,$W$2:$W$5,,1)</f>
        <v>23 - 27</v>
      </c>
      <c r="E525">
        <v>2006</v>
      </c>
      <c r="F525" t="str">
        <f>_xlfn.XLOOKUP('Raw Data'!F525,$Q$2:$Q$9,$R$2:$R$9,,1)</f>
        <v>15 - 20</v>
      </c>
      <c r="G525">
        <v>483.7</v>
      </c>
    </row>
    <row r="526" spans="1:7" x14ac:dyDescent="0.25">
      <c r="A526" t="str">
        <f>_xlfn.XLOOKUP('Raw Data'!A526,$M$2:$M$11,$N$2:$N$11,,1)</f>
        <v>43 - 48</v>
      </c>
      <c r="B526" t="str">
        <f>_xlfn.XLOOKUP('Raw Data'!B526,$Q$2:$Q$9,$R$2:$R$9,,1)</f>
        <v>15 - 20</v>
      </c>
      <c r="C526">
        <v>1</v>
      </c>
      <c r="D526" t="str">
        <f>_xlfn.XLOOKUP('Raw Data'!D526,$V$2:$V$5,$W$2:$W$5,,1)</f>
        <v>19 - 23</v>
      </c>
      <c r="E526">
        <v>2009</v>
      </c>
      <c r="F526" t="str">
        <f>_xlfn.XLOOKUP('Raw Data'!F526,$Q$2:$Q$9,$R$2:$R$9,,1)</f>
        <v>15 - 20</v>
      </c>
      <c r="G526">
        <v>489.25</v>
      </c>
    </row>
    <row r="527" spans="1:7" x14ac:dyDescent="0.25">
      <c r="A527" t="str">
        <f>_xlfn.XLOOKUP('Raw Data'!A527,$M$2:$M$11,$N$2:$N$11,,1)</f>
        <v>28 - 33</v>
      </c>
      <c r="B527" t="str">
        <f>_xlfn.XLOOKUP('Raw Data'!B527,$Q$2:$Q$9,$R$2:$R$9,,1)</f>
        <v>10 - 15</v>
      </c>
      <c r="C527">
        <v>4</v>
      </c>
      <c r="D527" t="str">
        <f>_xlfn.XLOOKUP('Raw Data'!D527,$V$2:$V$5,$W$2:$W$5,,1)</f>
        <v>11 - 15</v>
      </c>
      <c r="E527">
        <v>2012</v>
      </c>
      <c r="F527" t="str">
        <f>_xlfn.XLOOKUP('Raw Data'!F527,$Q$2:$Q$9,$R$2:$R$9,,1)</f>
        <v>10 - 15</v>
      </c>
      <c r="G527">
        <v>498.25</v>
      </c>
    </row>
    <row r="528" spans="1:7" x14ac:dyDescent="0.25">
      <c r="A528" t="str">
        <f>_xlfn.XLOOKUP('Raw Data'!A528,$M$2:$M$11,$N$2:$N$11,,1)</f>
        <v>28 - 33</v>
      </c>
      <c r="B528" t="str">
        <f>_xlfn.XLOOKUP('Raw Data'!B528,$Q$2:$Q$9,$R$2:$R$9,,1)</f>
        <v>10 - 15</v>
      </c>
      <c r="C528">
        <v>4</v>
      </c>
      <c r="D528" t="str">
        <f>_xlfn.XLOOKUP('Raw Data'!D528,$V$2:$V$5,$W$2:$W$5,,1)</f>
        <v>11 - 15</v>
      </c>
      <c r="E528">
        <v>2021</v>
      </c>
      <c r="F528" t="str">
        <f>_xlfn.XLOOKUP('Raw Data'!F528,$Q$2:$Q$9,$R$2:$R$9,,1)</f>
        <v>0 - 5</v>
      </c>
      <c r="G528">
        <v>497.85</v>
      </c>
    </row>
    <row r="529" spans="1:7" x14ac:dyDescent="0.25">
      <c r="A529" t="str">
        <f>_xlfn.XLOOKUP('Raw Data'!A529,$M$2:$M$11,$N$2:$N$11,,1)</f>
        <v>43 - 48</v>
      </c>
      <c r="B529" t="str">
        <f>_xlfn.XLOOKUP('Raw Data'!B529,$Q$2:$Q$9,$R$2:$R$9,,1)</f>
        <v>15 - 20</v>
      </c>
      <c r="C529">
        <v>5</v>
      </c>
      <c r="D529" t="str">
        <f>_xlfn.XLOOKUP('Raw Data'!D529,$V$2:$V$5,$W$2:$W$5,,1)</f>
        <v>15 - 19</v>
      </c>
      <c r="E529">
        <v>2022</v>
      </c>
      <c r="F529" t="str">
        <f>_xlfn.XLOOKUP('Raw Data'!F529,$Q$2:$Q$9,$R$2:$R$9,,1)</f>
        <v>0 - 5</v>
      </c>
      <c r="G529">
        <v>494.2</v>
      </c>
    </row>
    <row r="530" spans="1:7" x14ac:dyDescent="0.25">
      <c r="A530" t="str">
        <f>_xlfn.XLOOKUP('Raw Data'!A530,$M$2:$M$11,$N$2:$N$11,,1)</f>
        <v>58 - 63</v>
      </c>
      <c r="B530" t="str">
        <f>_xlfn.XLOOKUP('Raw Data'!B530,$Q$2:$Q$9,$R$2:$R$9,,1)</f>
        <v>20 - 25</v>
      </c>
      <c r="C530">
        <v>5</v>
      </c>
      <c r="D530" t="str">
        <f>_xlfn.XLOOKUP('Raw Data'!D530,$V$2:$V$5,$W$2:$W$5,,1)</f>
        <v>11 - 15</v>
      </c>
      <c r="E530">
        <v>1994</v>
      </c>
      <c r="F530" t="str">
        <f>_xlfn.XLOOKUP('Raw Data'!F530,$Q$2:$Q$9,$R$2:$R$9,,1)</f>
        <v>30 - 35</v>
      </c>
      <c r="G530">
        <v>491.85</v>
      </c>
    </row>
    <row r="531" spans="1:7" x14ac:dyDescent="0.25">
      <c r="A531" t="str">
        <f>_xlfn.XLOOKUP('Raw Data'!A531,$M$2:$M$11,$N$2:$N$11,,1)</f>
        <v>18 - 23</v>
      </c>
      <c r="B531" t="str">
        <f>_xlfn.XLOOKUP('Raw Data'!B531,$Q$2:$Q$9,$R$2:$R$9,,1)</f>
        <v>0 - 5</v>
      </c>
      <c r="C531">
        <v>1</v>
      </c>
      <c r="D531" t="str">
        <f>_xlfn.XLOOKUP('Raw Data'!D531,$V$2:$V$5,$W$2:$W$5,,1)</f>
        <v>15 - 19</v>
      </c>
      <c r="E531">
        <v>2023</v>
      </c>
      <c r="F531" t="str">
        <f>_xlfn.XLOOKUP('Raw Data'!F531,$Q$2:$Q$9,$R$2:$R$9,,1)</f>
        <v>0 - 5</v>
      </c>
      <c r="G531">
        <v>498.5</v>
      </c>
    </row>
    <row r="532" spans="1:7" x14ac:dyDescent="0.25">
      <c r="A532" t="str">
        <f>_xlfn.XLOOKUP('Raw Data'!A532,$M$2:$M$11,$N$2:$N$11,,1)</f>
        <v>48 - 53</v>
      </c>
      <c r="B532" t="str">
        <f>_xlfn.XLOOKUP('Raw Data'!B532,$Q$2:$Q$9,$R$2:$R$9,,1)</f>
        <v>30 - 35</v>
      </c>
      <c r="C532">
        <v>5</v>
      </c>
      <c r="D532" t="str">
        <f>_xlfn.XLOOKUP('Raw Data'!D532,$V$2:$V$5,$W$2:$W$5,,1)</f>
        <v>11 - 15</v>
      </c>
      <c r="E532">
        <v>2000</v>
      </c>
      <c r="F532" t="str">
        <f>_xlfn.XLOOKUP('Raw Data'!F532,$Q$2:$Q$9,$R$2:$R$9,,1)</f>
        <v>20 - 25</v>
      </c>
      <c r="G532">
        <v>490.9</v>
      </c>
    </row>
    <row r="533" spans="1:7" x14ac:dyDescent="0.25">
      <c r="A533" t="str">
        <f>_xlfn.XLOOKUP('Raw Data'!A533,$M$2:$M$11,$N$2:$N$11,,1)</f>
        <v>38 - 43</v>
      </c>
      <c r="B533" t="str">
        <f>_xlfn.XLOOKUP('Raw Data'!B533,$Q$2:$Q$9,$R$2:$R$9,,1)</f>
        <v>20 - 25</v>
      </c>
      <c r="C533">
        <v>3</v>
      </c>
      <c r="D533" t="str">
        <f>_xlfn.XLOOKUP('Raw Data'!D533,$V$2:$V$5,$W$2:$W$5,,1)</f>
        <v>11 - 15</v>
      </c>
      <c r="E533">
        <v>1992</v>
      </c>
      <c r="F533" t="str">
        <f>_xlfn.XLOOKUP('Raw Data'!F533,$Q$2:$Q$9,$R$2:$R$9,,1)</f>
        <v>30 - 35</v>
      </c>
      <c r="G533">
        <v>493.9</v>
      </c>
    </row>
    <row r="534" spans="1:7" x14ac:dyDescent="0.25">
      <c r="A534" t="str">
        <f>_xlfn.XLOOKUP('Raw Data'!A534,$M$2:$M$11,$N$2:$N$11,,1)</f>
        <v>33 - 38</v>
      </c>
      <c r="B534" t="str">
        <f>_xlfn.XLOOKUP('Raw Data'!B534,$Q$2:$Q$9,$R$2:$R$9,,1)</f>
        <v>15 - 20</v>
      </c>
      <c r="C534">
        <v>0</v>
      </c>
      <c r="D534" t="str">
        <f>_xlfn.XLOOKUP('Raw Data'!D534,$V$2:$V$5,$W$2:$W$5,,1)</f>
        <v>15 - 19</v>
      </c>
      <c r="E534">
        <v>2022</v>
      </c>
      <c r="F534" t="str">
        <f>_xlfn.XLOOKUP('Raw Data'!F534,$Q$2:$Q$9,$R$2:$R$9,,1)</f>
        <v>0 - 5</v>
      </c>
      <c r="G534">
        <v>489.6</v>
      </c>
    </row>
    <row r="535" spans="1:7" x14ac:dyDescent="0.25">
      <c r="A535" t="str">
        <f>_xlfn.XLOOKUP('Raw Data'!A535,$M$2:$M$11,$N$2:$N$11,,1)</f>
        <v>38 - 43</v>
      </c>
      <c r="B535" t="str">
        <f>_xlfn.XLOOKUP('Raw Data'!B535,$Q$2:$Q$9,$R$2:$R$9,,1)</f>
        <v>10 - 15</v>
      </c>
      <c r="C535">
        <v>0</v>
      </c>
      <c r="D535" t="str">
        <f>_xlfn.XLOOKUP('Raw Data'!D535,$V$2:$V$5,$W$2:$W$5,,1)</f>
        <v>19 - 23</v>
      </c>
      <c r="E535">
        <v>2000</v>
      </c>
      <c r="F535" t="str">
        <f>_xlfn.XLOOKUP('Raw Data'!F535,$Q$2:$Q$9,$R$2:$R$9,,1)</f>
        <v>20 - 25</v>
      </c>
      <c r="G535">
        <v>491.4</v>
      </c>
    </row>
    <row r="536" spans="1:7" x14ac:dyDescent="0.25">
      <c r="A536" t="str">
        <f>_xlfn.XLOOKUP('Raw Data'!A536,$M$2:$M$11,$N$2:$N$11,,1)</f>
        <v>23 - 28</v>
      </c>
      <c r="B536" t="str">
        <f>_xlfn.XLOOKUP('Raw Data'!B536,$Q$2:$Q$9,$R$2:$R$9,,1)</f>
        <v>5 - 10</v>
      </c>
      <c r="C536">
        <v>0</v>
      </c>
      <c r="D536" t="str">
        <f>_xlfn.XLOOKUP('Raw Data'!D536,$V$2:$V$5,$W$2:$W$5,,1)</f>
        <v>15 - 19</v>
      </c>
      <c r="E536">
        <v>2005</v>
      </c>
      <c r="F536" t="str">
        <f>_xlfn.XLOOKUP('Raw Data'!F536,$Q$2:$Q$9,$R$2:$R$9,,1)</f>
        <v>15 - 20</v>
      </c>
      <c r="G536">
        <v>495.7</v>
      </c>
    </row>
    <row r="537" spans="1:7" x14ac:dyDescent="0.25">
      <c r="A537" t="str">
        <f>_xlfn.XLOOKUP('Raw Data'!A537,$M$2:$M$11,$N$2:$N$11,,1)</f>
        <v>43 - 48</v>
      </c>
      <c r="B537" t="str">
        <f>_xlfn.XLOOKUP('Raw Data'!B537,$Q$2:$Q$9,$R$2:$R$9,,1)</f>
        <v>5 - 10</v>
      </c>
      <c r="C537">
        <v>1</v>
      </c>
      <c r="D537" t="str">
        <f>_xlfn.XLOOKUP('Raw Data'!D537,$V$2:$V$5,$W$2:$W$5,,1)</f>
        <v>11 - 15</v>
      </c>
      <c r="E537">
        <v>2007</v>
      </c>
      <c r="F537" t="str">
        <f>_xlfn.XLOOKUP('Raw Data'!F537,$Q$2:$Q$9,$R$2:$R$9,,1)</f>
        <v>15 - 20</v>
      </c>
      <c r="G537">
        <v>492.25</v>
      </c>
    </row>
    <row r="538" spans="1:7" x14ac:dyDescent="0.25">
      <c r="A538" t="str">
        <f>_xlfn.XLOOKUP('Raw Data'!A538,$M$2:$M$11,$N$2:$N$11,,1)</f>
        <v>38 - 43</v>
      </c>
      <c r="B538" t="str">
        <f>_xlfn.XLOOKUP('Raw Data'!B538,$Q$2:$Q$9,$R$2:$R$9,,1)</f>
        <v>0 - 5</v>
      </c>
      <c r="C538">
        <v>1</v>
      </c>
      <c r="D538" t="str">
        <f>_xlfn.XLOOKUP('Raw Data'!D538,$V$2:$V$5,$W$2:$W$5,,1)</f>
        <v>23 - 27</v>
      </c>
      <c r="E538">
        <v>2019</v>
      </c>
      <c r="F538" t="str">
        <f>_xlfn.XLOOKUP('Raw Data'!F538,$Q$2:$Q$9,$R$2:$R$9,,1)</f>
        <v>5 - 10</v>
      </c>
      <c r="G538">
        <v>493.85</v>
      </c>
    </row>
    <row r="539" spans="1:7" x14ac:dyDescent="0.25">
      <c r="A539" t="str">
        <f>_xlfn.XLOOKUP('Raw Data'!A539,$M$2:$M$11,$N$2:$N$11,,1)</f>
        <v>23 - 28</v>
      </c>
      <c r="B539" t="str">
        <f>_xlfn.XLOOKUP('Raw Data'!B539,$Q$2:$Q$9,$R$2:$R$9,,1)</f>
        <v>5 - 10</v>
      </c>
      <c r="C539">
        <v>2</v>
      </c>
      <c r="D539" t="str">
        <f>_xlfn.XLOOKUP('Raw Data'!D539,$V$2:$V$5,$W$2:$W$5,,1)</f>
        <v>11 - 15</v>
      </c>
      <c r="E539">
        <v>1999</v>
      </c>
      <c r="F539" t="str">
        <f>_xlfn.XLOOKUP('Raw Data'!F539,$Q$2:$Q$9,$R$2:$R$9,,1)</f>
        <v>25 - 30</v>
      </c>
      <c r="G539">
        <v>498.2</v>
      </c>
    </row>
    <row r="540" spans="1:7" x14ac:dyDescent="0.25">
      <c r="A540" t="str">
        <f>_xlfn.XLOOKUP('Raw Data'!A540,$M$2:$M$11,$N$2:$N$11,,1)</f>
        <v>38 - 43</v>
      </c>
      <c r="B540" t="str">
        <f>_xlfn.XLOOKUP('Raw Data'!B540,$Q$2:$Q$9,$R$2:$R$9,,1)</f>
        <v>20 - 25</v>
      </c>
      <c r="C540">
        <v>0</v>
      </c>
      <c r="D540" t="str">
        <f>_xlfn.XLOOKUP('Raw Data'!D540,$V$2:$V$5,$W$2:$W$5,,1)</f>
        <v>11 - 15</v>
      </c>
      <c r="E540">
        <v>2007</v>
      </c>
      <c r="F540" t="str">
        <f>_xlfn.XLOOKUP('Raw Data'!F540,$Q$2:$Q$9,$R$2:$R$9,,1)</f>
        <v>15 - 20</v>
      </c>
      <c r="G540">
        <v>486.25</v>
      </c>
    </row>
    <row r="541" spans="1:7" x14ac:dyDescent="0.25">
      <c r="A541" t="str">
        <f>_xlfn.XLOOKUP('Raw Data'!A541,$M$2:$M$11,$N$2:$N$11,,1)</f>
        <v>48 - 53</v>
      </c>
      <c r="B541" t="str">
        <f>_xlfn.XLOOKUP('Raw Data'!B541,$Q$2:$Q$9,$R$2:$R$9,,1)</f>
        <v>30 - 35</v>
      </c>
      <c r="C541">
        <v>3</v>
      </c>
      <c r="D541" t="str">
        <f>_xlfn.XLOOKUP('Raw Data'!D541,$V$2:$V$5,$W$2:$W$5,,1)</f>
        <v>19 - 23</v>
      </c>
      <c r="E541">
        <v>2008</v>
      </c>
      <c r="F541" t="str">
        <f>_xlfn.XLOOKUP('Raw Data'!F541,$Q$2:$Q$9,$R$2:$R$9,,1)</f>
        <v>15 - 20</v>
      </c>
      <c r="G541">
        <v>487.25</v>
      </c>
    </row>
    <row r="542" spans="1:7" x14ac:dyDescent="0.25">
      <c r="A542" t="str">
        <f>_xlfn.XLOOKUP('Raw Data'!A542,$M$2:$M$11,$N$2:$N$11,,1)</f>
        <v>53 - 58</v>
      </c>
      <c r="B542" t="str">
        <f>_xlfn.XLOOKUP('Raw Data'!B542,$Q$2:$Q$9,$R$2:$R$9,,1)</f>
        <v>5 - 10</v>
      </c>
      <c r="C542">
        <v>5</v>
      </c>
      <c r="D542" t="str">
        <f>_xlfn.XLOOKUP('Raw Data'!D542,$V$2:$V$5,$W$2:$W$5,,1)</f>
        <v>11 - 15</v>
      </c>
      <c r="E542">
        <v>2025</v>
      </c>
      <c r="F542" t="str">
        <f>_xlfn.XLOOKUP('Raw Data'!F542,$Q$2:$Q$9,$R$2:$R$9,,1)</f>
        <v>0 - 5</v>
      </c>
      <c r="G542">
        <v>493.5</v>
      </c>
    </row>
    <row r="543" spans="1:7" x14ac:dyDescent="0.25">
      <c r="A543" t="str">
        <f>_xlfn.XLOOKUP('Raw Data'!A543,$M$2:$M$11,$N$2:$N$11,,1)</f>
        <v>23 - 28</v>
      </c>
      <c r="B543" t="str">
        <f>_xlfn.XLOOKUP('Raw Data'!B543,$Q$2:$Q$9,$R$2:$R$9,,1)</f>
        <v>5 - 10</v>
      </c>
      <c r="C543">
        <v>3</v>
      </c>
      <c r="D543" t="str">
        <f>_xlfn.XLOOKUP('Raw Data'!D543,$V$2:$V$5,$W$2:$W$5,,1)</f>
        <v>11 - 15</v>
      </c>
      <c r="E543">
        <v>2002</v>
      </c>
      <c r="F543" t="str">
        <f>_xlfn.XLOOKUP('Raw Data'!F543,$Q$2:$Q$9,$R$2:$R$9,,1)</f>
        <v>20 - 25</v>
      </c>
      <c r="G543">
        <v>500.95</v>
      </c>
    </row>
    <row r="544" spans="1:7" x14ac:dyDescent="0.25">
      <c r="A544" t="str">
        <f>_xlfn.XLOOKUP('Raw Data'!A544,$M$2:$M$11,$N$2:$N$11,,1)</f>
        <v>18 - 23</v>
      </c>
      <c r="B544" t="str">
        <f>_xlfn.XLOOKUP('Raw Data'!B544,$Q$2:$Q$9,$R$2:$R$9,,1)</f>
        <v>0 - 5</v>
      </c>
      <c r="C544">
        <v>5</v>
      </c>
      <c r="D544" t="str">
        <f>_xlfn.XLOOKUP('Raw Data'!D544,$V$2:$V$5,$W$2:$W$5,,1)</f>
        <v>23 - 27</v>
      </c>
      <c r="E544">
        <v>1992</v>
      </c>
      <c r="F544" t="str">
        <f>_xlfn.XLOOKUP('Raw Data'!F544,$Q$2:$Q$9,$R$2:$R$9,,1)</f>
        <v>30 - 35</v>
      </c>
      <c r="G544">
        <v>507.2</v>
      </c>
    </row>
    <row r="545" spans="1:7" x14ac:dyDescent="0.25">
      <c r="A545" t="str">
        <f>_xlfn.XLOOKUP('Raw Data'!A545,$M$2:$M$11,$N$2:$N$11,,1)</f>
        <v>58 - 63</v>
      </c>
      <c r="B545" t="str">
        <f>_xlfn.XLOOKUP('Raw Data'!B545,$Q$2:$Q$9,$R$2:$R$9,,1)</f>
        <v>25 - 30</v>
      </c>
      <c r="C545">
        <v>0</v>
      </c>
      <c r="D545" t="str">
        <f>_xlfn.XLOOKUP('Raw Data'!D545,$V$2:$V$5,$W$2:$W$5,,1)</f>
        <v>15 - 19</v>
      </c>
      <c r="E545">
        <v>1999</v>
      </c>
      <c r="F545" t="str">
        <f>_xlfn.XLOOKUP('Raw Data'!F545,$Q$2:$Q$9,$R$2:$R$9,,1)</f>
        <v>25 - 30</v>
      </c>
      <c r="G545">
        <v>483</v>
      </c>
    </row>
    <row r="546" spans="1:7" x14ac:dyDescent="0.25">
      <c r="A546" t="str">
        <f>_xlfn.XLOOKUP('Raw Data'!A546,$M$2:$M$11,$N$2:$N$11,,1)</f>
        <v>23 - 28</v>
      </c>
      <c r="B546" t="str">
        <f>_xlfn.XLOOKUP('Raw Data'!B546,$Q$2:$Q$9,$R$2:$R$9,,1)</f>
        <v>5 - 10</v>
      </c>
      <c r="C546">
        <v>0</v>
      </c>
      <c r="D546" t="str">
        <f>_xlfn.XLOOKUP('Raw Data'!D546,$V$2:$V$5,$W$2:$W$5,,1)</f>
        <v>15 - 19</v>
      </c>
      <c r="E546">
        <v>1990</v>
      </c>
      <c r="F546" t="str">
        <f>_xlfn.XLOOKUP('Raw Data'!F546,$Q$2:$Q$9,$R$2:$R$9,,1)</f>
        <v>30 - 35</v>
      </c>
      <c r="G546">
        <v>495.8</v>
      </c>
    </row>
    <row r="547" spans="1:7" x14ac:dyDescent="0.25">
      <c r="A547" t="str">
        <f>_xlfn.XLOOKUP('Raw Data'!A547,$M$2:$M$11,$N$2:$N$11,,1)</f>
        <v>43 - 48</v>
      </c>
      <c r="B547" t="str">
        <f>_xlfn.XLOOKUP('Raw Data'!B547,$Q$2:$Q$9,$R$2:$R$9,,1)</f>
        <v>5 - 10</v>
      </c>
      <c r="C547">
        <v>0</v>
      </c>
      <c r="D547" t="str">
        <f>_xlfn.XLOOKUP('Raw Data'!D547,$V$2:$V$5,$W$2:$W$5,,1)</f>
        <v>19 - 23</v>
      </c>
      <c r="E547">
        <v>2016</v>
      </c>
      <c r="F547" t="str">
        <f>_xlfn.XLOOKUP('Raw Data'!F547,$Q$2:$Q$9,$R$2:$R$9,,1)</f>
        <v>5 - 10</v>
      </c>
      <c r="G547">
        <v>490.35</v>
      </c>
    </row>
    <row r="548" spans="1:7" x14ac:dyDescent="0.25">
      <c r="A548" t="str">
        <f>_xlfn.XLOOKUP('Raw Data'!A548,$M$2:$M$11,$N$2:$N$11,,1)</f>
        <v>48 - 53</v>
      </c>
      <c r="B548" t="str">
        <f>_xlfn.XLOOKUP('Raw Data'!B548,$Q$2:$Q$9,$R$2:$R$9,,1)</f>
        <v>0 - 5</v>
      </c>
      <c r="C548">
        <v>1</v>
      </c>
      <c r="D548" t="str">
        <f>_xlfn.XLOOKUP('Raw Data'!D548,$V$2:$V$5,$W$2:$W$5,,1)</f>
        <v>11 - 15</v>
      </c>
      <c r="E548">
        <v>1997</v>
      </c>
      <c r="F548" t="str">
        <f>_xlfn.XLOOKUP('Raw Data'!F548,$Q$2:$Q$9,$R$2:$R$9,,1)</f>
        <v>25 - 30</v>
      </c>
      <c r="G548">
        <v>493.75</v>
      </c>
    </row>
    <row r="549" spans="1:7" x14ac:dyDescent="0.25">
      <c r="A549" t="str">
        <f>_xlfn.XLOOKUP('Raw Data'!A549,$M$2:$M$11,$N$2:$N$11,,1)</f>
        <v>38 - 43</v>
      </c>
      <c r="B549" t="str">
        <f>_xlfn.XLOOKUP('Raw Data'!B549,$Q$2:$Q$9,$R$2:$R$9,,1)</f>
        <v>20 - 25</v>
      </c>
      <c r="C549">
        <v>5</v>
      </c>
      <c r="D549" t="str">
        <f>_xlfn.XLOOKUP('Raw Data'!D549,$V$2:$V$5,$W$2:$W$5,,1)</f>
        <v>19 - 23</v>
      </c>
      <c r="E549">
        <v>2006</v>
      </c>
      <c r="F549" t="str">
        <f>_xlfn.XLOOKUP('Raw Data'!F549,$Q$2:$Q$9,$R$2:$R$9,,1)</f>
        <v>15 - 20</v>
      </c>
      <c r="G549">
        <v>494.85</v>
      </c>
    </row>
    <row r="550" spans="1:7" x14ac:dyDescent="0.25">
      <c r="A550" t="str">
        <f>_xlfn.XLOOKUP('Raw Data'!A550,$M$2:$M$11,$N$2:$N$11,,1)</f>
        <v>33 - 38</v>
      </c>
      <c r="B550" t="str">
        <f>_xlfn.XLOOKUP('Raw Data'!B550,$Q$2:$Q$9,$R$2:$R$9,,1)</f>
        <v>15 - 20</v>
      </c>
      <c r="C550">
        <v>1</v>
      </c>
      <c r="D550" t="str">
        <f>_xlfn.XLOOKUP('Raw Data'!D550,$V$2:$V$5,$W$2:$W$5,,1)</f>
        <v>19 - 23</v>
      </c>
      <c r="E550">
        <v>1998</v>
      </c>
      <c r="F550" t="str">
        <f>_xlfn.XLOOKUP('Raw Data'!F550,$Q$2:$Q$9,$R$2:$R$9,,1)</f>
        <v>25 - 30</v>
      </c>
      <c r="G550">
        <v>491.75</v>
      </c>
    </row>
    <row r="551" spans="1:7" x14ac:dyDescent="0.25">
      <c r="A551" t="str">
        <f>_xlfn.XLOOKUP('Raw Data'!A551,$M$2:$M$11,$N$2:$N$11,,1)</f>
        <v>48 - 53</v>
      </c>
      <c r="B551" t="str">
        <f>_xlfn.XLOOKUP('Raw Data'!B551,$Q$2:$Q$9,$R$2:$R$9,,1)</f>
        <v>10 - 15</v>
      </c>
      <c r="C551">
        <v>1</v>
      </c>
      <c r="D551" t="str">
        <f>_xlfn.XLOOKUP('Raw Data'!D551,$V$2:$V$5,$W$2:$W$5,,1)</f>
        <v>11 - 15</v>
      </c>
      <c r="E551">
        <v>1995</v>
      </c>
      <c r="F551" t="str">
        <f>_xlfn.XLOOKUP('Raw Data'!F551,$Q$2:$Q$9,$R$2:$R$9,,1)</f>
        <v>25 - 30</v>
      </c>
      <c r="G551">
        <v>491.3</v>
      </c>
    </row>
    <row r="552" spans="1:7" x14ac:dyDescent="0.25">
      <c r="A552" t="str">
        <f>_xlfn.XLOOKUP('Raw Data'!A552,$M$2:$M$11,$N$2:$N$11,,1)</f>
        <v>23 - 28</v>
      </c>
      <c r="B552" t="str">
        <f>_xlfn.XLOOKUP('Raw Data'!B552,$Q$2:$Q$9,$R$2:$R$9,,1)</f>
        <v>5 - 10</v>
      </c>
      <c r="C552">
        <v>4</v>
      </c>
      <c r="D552" t="str">
        <f>_xlfn.XLOOKUP('Raw Data'!D552,$V$2:$V$5,$W$2:$W$5,,1)</f>
        <v>19 - 23</v>
      </c>
      <c r="E552">
        <v>2014</v>
      </c>
      <c r="F552" t="str">
        <f>_xlfn.XLOOKUP('Raw Data'!F552,$Q$2:$Q$9,$R$2:$R$9,,1)</f>
        <v>10 - 15</v>
      </c>
      <c r="G552">
        <v>500.3</v>
      </c>
    </row>
    <row r="553" spans="1:7" x14ac:dyDescent="0.25">
      <c r="A553" t="str">
        <f>_xlfn.XLOOKUP('Raw Data'!A553,$M$2:$M$11,$N$2:$N$11,,1)</f>
        <v>53 - 58</v>
      </c>
      <c r="B553" t="str">
        <f>_xlfn.XLOOKUP('Raw Data'!B553,$Q$2:$Q$9,$R$2:$R$9,,1)</f>
        <v>10 - 15</v>
      </c>
      <c r="C553">
        <v>3</v>
      </c>
      <c r="D553" t="str">
        <f>_xlfn.XLOOKUP('Raw Data'!D553,$V$2:$V$5,$W$2:$W$5,,1)</f>
        <v>19 - 23</v>
      </c>
      <c r="E553">
        <v>2017</v>
      </c>
      <c r="F553" t="str">
        <f>_xlfn.XLOOKUP('Raw Data'!F553,$Q$2:$Q$9,$R$2:$R$9,,1)</f>
        <v>5 - 10</v>
      </c>
      <c r="G553">
        <v>491.35</v>
      </c>
    </row>
    <row r="554" spans="1:7" x14ac:dyDescent="0.25">
      <c r="A554" t="str">
        <f>_xlfn.XLOOKUP('Raw Data'!A554,$M$2:$M$11,$N$2:$N$11,,1)</f>
        <v>23 - 28</v>
      </c>
      <c r="B554" t="str">
        <f>_xlfn.XLOOKUP('Raw Data'!B554,$Q$2:$Q$9,$R$2:$R$9,,1)</f>
        <v>5 - 10</v>
      </c>
      <c r="C554">
        <v>3</v>
      </c>
      <c r="D554" t="str">
        <f>_xlfn.XLOOKUP('Raw Data'!D554,$V$2:$V$5,$W$2:$W$5,,1)</f>
        <v>23 - 27</v>
      </c>
      <c r="E554">
        <v>2022</v>
      </c>
      <c r="F554" t="str">
        <f>_xlfn.XLOOKUP('Raw Data'!F554,$Q$2:$Q$9,$R$2:$R$9,,1)</f>
        <v>0 - 5</v>
      </c>
      <c r="G554">
        <v>498.4</v>
      </c>
    </row>
    <row r="555" spans="1:7" x14ac:dyDescent="0.25">
      <c r="A555" t="str">
        <f>_xlfn.XLOOKUP('Raw Data'!A555,$M$2:$M$11,$N$2:$N$11,,1)</f>
        <v>38 - 43</v>
      </c>
      <c r="B555" t="str">
        <f>_xlfn.XLOOKUP('Raw Data'!B555,$Q$2:$Q$9,$R$2:$R$9,,1)</f>
        <v>20 - 25</v>
      </c>
      <c r="C555">
        <v>2</v>
      </c>
      <c r="D555" t="str">
        <f>_xlfn.XLOOKUP('Raw Data'!D555,$V$2:$V$5,$W$2:$W$5,,1)</f>
        <v>15 - 19</v>
      </c>
      <c r="E555">
        <v>1998</v>
      </c>
      <c r="F555" t="str">
        <f>_xlfn.XLOOKUP('Raw Data'!F555,$Q$2:$Q$9,$R$2:$R$9,,1)</f>
        <v>25 - 30</v>
      </c>
      <c r="G555">
        <v>491.4</v>
      </c>
    </row>
    <row r="556" spans="1:7" x14ac:dyDescent="0.25">
      <c r="A556" t="str">
        <f>_xlfn.XLOOKUP('Raw Data'!A556,$M$2:$M$11,$N$2:$N$11,,1)</f>
        <v>48 - 53</v>
      </c>
      <c r="B556" t="str">
        <f>_xlfn.XLOOKUP('Raw Data'!B556,$Q$2:$Q$9,$R$2:$R$9,,1)</f>
        <v>0 - 5</v>
      </c>
      <c r="C556">
        <v>1</v>
      </c>
      <c r="D556" t="str">
        <f>_xlfn.XLOOKUP('Raw Data'!D556,$V$2:$V$5,$W$2:$W$5,,1)</f>
        <v>19 - 23</v>
      </c>
      <c r="E556">
        <v>2007</v>
      </c>
      <c r="F556" t="str">
        <f>_xlfn.XLOOKUP('Raw Data'!F556,$Q$2:$Q$9,$R$2:$R$9,,1)</f>
        <v>15 - 20</v>
      </c>
      <c r="G556">
        <v>492.75</v>
      </c>
    </row>
    <row r="557" spans="1:7" x14ac:dyDescent="0.25">
      <c r="A557" t="str">
        <f>_xlfn.XLOOKUP('Raw Data'!A557,$M$2:$M$11,$N$2:$N$11,,1)</f>
        <v>48 - 53</v>
      </c>
      <c r="B557" t="str">
        <f>_xlfn.XLOOKUP('Raw Data'!B557,$Q$2:$Q$9,$R$2:$R$9,,1)</f>
        <v>5 - 10</v>
      </c>
      <c r="C557">
        <v>5</v>
      </c>
      <c r="D557" t="str">
        <f>_xlfn.XLOOKUP('Raw Data'!D557,$V$2:$V$5,$W$2:$W$5,,1)</f>
        <v>19 - 23</v>
      </c>
      <c r="E557">
        <v>2010</v>
      </c>
      <c r="F557" t="str">
        <f>_xlfn.XLOOKUP('Raw Data'!F557,$Q$2:$Q$9,$R$2:$R$9,,1)</f>
        <v>10 - 15</v>
      </c>
      <c r="G557">
        <v>496.65</v>
      </c>
    </row>
    <row r="558" spans="1:7" x14ac:dyDescent="0.25">
      <c r="A558" t="str">
        <f>_xlfn.XLOOKUP('Raw Data'!A558,$M$2:$M$11,$N$2:$N$11,,1)</f>
        <v>63 - 68</v>
      </c>
      <c r="B558" t="str">
        <f>_xlfn.XLOOKUP('Raw Data'!B558,$Q$2:$Q$9,$R$2:$R$9,,1)</f>
        <v>30 - 35</v>
      </c>
      <c r="C558">
        <v>4</v>
      </c>
      <c r="D558" t="str">
        <f>_xlfn.XLOOKUP('Raw Data'!D558,$V$2:$V$5,$W$2:$W$5,,1)</f>
        <v>19 - 23</v>
      </c>
      <c r="E558">
        <v>1991</v>
      </c>
      <c r="F558" t="str">
        <f>_xlfn.XLOOKUP('Raw Data'!F558,$Q$2:$Q$9,$R$2:$R$9,,1)</f>
        <v>30 - 35</v>
      </c>
      <c r="G558">
        <v>487.5</v>
      </c>
    </row>
    <row r="559" spans="1:7" x14ac:dyDescent="0.25">
      <c r="A559" t="str">
        <f>_xlfn.XLOOKUP('Raw Data'!A559,$M$2:$M$11,$N$2:$N$11,,1)</f>
        <v>48 - 53</v>
      </c>
      <c r="B559" t="str">
        <f>_xlfn.XLOOKUP('Raw Data'!B559,$Q$2:$Q$9,$R$2:$R$9,,1)</f>
        <v>20 - 25</v>
      </c>
      <c r="C559">
        <v>4</v>
      </c>
      <c r="D559" t="str">
        <f>_xlfn.XLOOKUP('Raw Data'!D559,$V$2:$V$5,$W$2:$W$5,,1)</f>
        <v>11 - 15</v>
      </c>
      <c r="E559">
        <v>2025</v>
      </c>
      <c r="F559" t="str">
        <f>_xlfn.XLOOKUP('Raw Data'!F559,$Q$2:$Q$9,$R$2:$R$9,,1)</f>
        <v>0 - 5</v>
      </c>
      <c r="G559">
        <v>489.15</v>
      </c>
    </row>
    <row r="560" spans="1:7" x14ac:dyDescent="0.25">
      <c r="A560" t="str">
        <f>_xlfn.XLOOKUP('Raw Data'!A560,$M$2:$M$11,$N$2:$N$11,,1)</f>
        <v>33 - 38</v>
      </c>
      <c r="B560" t="str">
        <f>_xlfn.XLOOKUP('Raw Data'!B560,$Q$2:$Q$9,$R$2:$R$9,,1)</f>
        <v>10 - 15</v>
      </c>
      <c r="C560">
        <v>3</v>
      </c>
      <c r="D560" t="str">
        <f>_xlfn.XLOOKUP('Raw Data'!D560,$V$2:$V$5,$W$2:$W$5,,1)</f>
        <v>11 - 15</v>
      </c>
      <c r="E560">
        <v>2004</v>
      </c>
      <c r="F560" t="str">
        <f>_xlfn.XLOOKUP('Raw Data'!F560,$Q$2:$Q$9,$R$2:$R$9,,1)</f>
        <v>20 - 25</v>
      </c>
      <c r="G560">
        <v>496</v>
      </c>
    </row>
    <row r="561" spans="1:7" x14ac:dyDescent="0.25">
      <c r="A561" t="str">
        <f>_xlfn.XLOOKUP('Raw Data'!A561,$M$2:$M$11,$N$2:$N$11,,1)</f>
        <v>53 - 58</v>
      </c>
      <c r="B561" t="str">
        <f>_xlfn.XLOOKUP('Raw Data'!B561,$Q$2:$Q$9,$R$2:$R$9,,1)</f>
        <v>35 - 40</v>
      </c>
      <c r="C561">
        <v>1</v>
      </c>
      <c r="D561" t="str">
        <f>_xlfn.XLOOKUP('Raw Data'!D561,$V$2:$V$5,$W$2:$W$5,,1)</f>
        <v>15 - 19</v>
      </c>
      <c r="E561">
        <v>2017</v>
      </c>
      <c r="F561" t="str">
        <f>_xlfn.XLOOKUP('Raw Data'!F561,$Q$2:$Q$9,$R$2:$R$9,,1)</f>
        <v>5 - 10</v>
      </c>
      <c r="G561">
        <v>480.8</v>
      </c>
    </row>
    <row r="562" spans="1:7" x14ac:dyDescent="0.25">
      <c r="A562" t="str">
        <f>_xlfn.XLOOKUP('Raw Data'!A562,$M$2:$M$11,$N$2:$N$11,,1)</f>
        <v>48 - 53</v>
      </c>
      <c r="B562" t="str">
        <f>_xlfn.XLOOKUP('Raw Data'!B562,$Q$2:$Q$9,$R$2:$R$9,,1)</f>
        <v>5 - 10</v>
      </c>
      <c r="C562">
        <v>2</v>
      </c>
      <c r="D562" t="str">
        <f>_xlfn.XLOOKUP('Raw Data'!D562,$V$2:$V$5,$W$2:$W$5,,1)</f>
        <v>19 - 23</v>
      </c>
      <c r="E562">
        <v>2007</v>
      </c>
      <c r="F562" t="str">
        <f>_xlfn.XLOOKUP('Raw Data'!F562,$Q$2:$Q$9,$R$2:$R$9,,1)</f>
        <v>15 - 20</v>
      </c>
      <c r="G562">
        <v>493.95</v>
      </c>
    </row>
    <row r="563" spans="1:7" x14ac:dyDescent="0.25">
      <c r="A563" t="str">
        <f>_xlfn.XLOOKUP('Raw Data'!A563,$M$2:$M$11,$N$2:$N$11,,1)</f>
        <v>38 - 43</v>
      </c>
      <c r="B563" t="str">
        <f>_xlfn.XLOOKUP('Raw Data'!B563,$Q$2:$Q$9,$R$2:$R$9,,1)</f>
        <v>0 - 5</v>
      </c>
      <c r="C563">
        <v>1</v>
      </c>
      <c r="D563" t="str">
        <f>_xlfn.XLOOKUP('Raw Data'!D563,$V$2:$V$5,$W$2:$W$5,,1)</f>
        <v>19 - 23</v>
      </c>
      <c r="E563">
        <v>2023</v>
      </c>
      <c r="F563" t="str">
        <f>_xlfn.XLOOKUP('Raw Data'!F563,$Q$2:$Q$9,$R$2:$R$9,,1)</f>
        <v>0 - 5</v>
      </c>
      <c r="G563">
        <v>493.45</v>
      </c>
    </row>
    <row r="564" spans="1:7" x14ac:dyDescent="0.25">
      <c r="A564" t="str">
        <f>_xlfn.XLOOKUP('Raw Data'!A564,$M$2:$M$11,$N$2:$N$11,,1)</f>
        <v>38 - 43</v>
      </c>
      <c r="B564" t="str">
        <f>_xlfn.XLOOKUP('Raw Data'!B564,$Q$2:$Q$9,$R$2:$R$9,,1)</f>
        <v>20 - 25</v>
      </c>
      <c r="C564">
        <v>0</v>
      </c>
      <c r="D564" t="str">
        <f>_xlfn.XLOOKUP('Raw Data'!D564,$V$2:$V$5,$W$2:$W$5,,1)</f>
        <v>23 - 27</v>
      </c>
      <c r="E564">
        <v>2011</v>
      </c>
      <c r="F564" t="str">
        <f>_xlfn.XLOOKUP('Raw Data'!F564,$Q$2:$Q$9,$R$2:$R$9,,1)</f>
        <v>10 - 15</v>
      </c>
      <c r="G564">
        <v>488.05</v>
      </c>
    </row>
    <row r="565" spans="1:7" x14ac:dyDescent="0.25">
      <c r="A565" t="str">
        <f>_xlfn.XLOOKUP('Raw Data'!A565,$M$2:$M$11,$N$2:$N$11,,1)</f>
        <v>48 - 53</v>
      </c>
      <c r="B565" t="str">
        <f>_xlfn.XLOOKUP('Raw Data'!B565,$Q$2:$Q$9,$R$2:$R$9,,1)</f>
        <v>15 - 20</v>
      </c>
      <c r="C565">
        <v>1</v>
      </c>
      <c r="D565" t="str">
        <f>_xlfn.XLOOKUP('Raw Data'!D565,$V$2:$V$5,$W$2:$W$5,,1)</f>
        <v>11 - 15</v>
      </c>
      <c r="E565">
        <v>2000</v>
      </c>
      <c r="F565" t="str">
        <f>_xlfn.XLOOKUP('Raw Data'!F565,$Q$2:$Q$9,$R$2:$R$9,,1)</f>
        <v>20 - 25</v>
      </c>
      <c r="G565">
        <v>489.85</v>
      </c>
    </row>
    <row r="566" spans="1:7" x14ac:dyDescent="0.25">
      <c r="A566" t="str">
        <f>_xlfn.XLOOKUP('Raw Data'!A566,$M$2:$M$11,$N$2:$N$11,,1)</f>
        <v>53 - 58</v>
      </c>
      <c r="B566" t="str">
        <f>_xlfn.XLOOKUP('Raw Data'!B566,$Q$2:$Q$9,$R$2:$R$9,,1)</f>
        <v>0 - 5</v>
      </c>
      <c r="C566">
        <v>0</v>
      </c>
      <c r="D566" t="str">
        <f>_xlfn.XLOOKUP('Raw Data'!D566,$V$2:$V$5,$W$2:$W$5,,1)</f>
        <v>23 - 27</v>
      </c>
      <c r="E566">
        <v>2002</v>
      </c>
      <c r="F566" t="str">
        <f>_xlfn.XLOOKUP('Raw Data'!F566,$Q$2:$Q$9,$R$2:$R$9,,1)</f>
        <v>20 - 25</v>
      </c>
      <c r="G566">
        <v>491.2</v>
      </c>
    </row>
    <row r="567" spans="1:7" x14ac:dyDescent="0.25">
      <c r="A567" t="str">
        <f>_xlfn.XLOOKUP('Raw Data'!A567,$M$2:$M$11,$N$2:$N$11,,1)</f>
        <v>28 - 33</v>
      </c>
      <c r="B567" t="str">
        <f>_xlfn.XLOOKUP('Raw Data'!B567,$Q$2:$Q$9,$R$2:$R$9,,1)</f>
        <v>10 - 15</v>
      </c>
      <c r="C567">
        <v>0</v>
      </c>
      <c r="D567" t="str">
        <f>_xlfn.XLOOKUP('Raw Data'!D567,$V$2:$V$5,$W$2:$W$5,,1)</f>
        <v>19 - 23</v>
      </c>
      <c r="E567">
        <v>1993</v>
      </c>
      <c r="F567" t="str">
        <f>_xlfn.XLOOKUP('Raw Data'!F567,$Q$2:$Q$9,$R$2:$R$9,,1)</f>
        <v>30 - 35</v>
      </c>
      <c r="G567">
        <v>495.1</v>
      </c>
    </row>
    <row r="568" spans="1:7" x14ac:dyDescent="0.25">
      <c r="A568" t="str">
        <f>_xlfn.XLOOKUP('Raw Data'!A568,$M$2:$M$11,$N$2:$N$11,,1)</f>
        <v>28 - 33</v>
      </c>
      <c r="B568" t="str">
        <f>_xlfn.XLOOKUP('Raw Data'!B568,$Q$2:$Q$9,$R$2:$R$9,,1)</f>
        <v>10 - 15</v>
      </c>
      <c r="C568">
        <v>2</v>
      </c>
      <c r="D568" t="str">
        <f>_xlfn.XLOOKUP('Raw Data'!D568,$V$2:$V$5,$W$2:$W$5,,1)</f>
        <v>11 - 15</v>
      </c>
      <c r="E568">
        <v>2011</v>
      </c>
      <c r="F568" t="str">
        <f>_xlfn.XLOOKUP('Raw Data'!F568,$Q$2:$Q$9,$R$2:$R$9,,1)</f>
        <v>10 - 15</v>
      </c>
      <c r="G568">
        <v>495.55</v>
      </c>
    </row>
    <row r="569" spans="1:7" x14ac:dyDescent="0.25">
      <c r="A569" t="str">
        <f>_xlfn.XLOOKUP('Raw Data'!A569,$M$2:$M$11,$N$2:$N$11,,1)</f>
        <v>38 - 43</v>
      </c>
      <c r="B569" t="str">
        <f>_xlfn.XLOOKUP('Raw Data'!B569,$Q$2:$Q$9,$R$2:$R$9,,1)</f>
        <v>20 - 25</v>
      </c>
      <c r="C569">
        <v>5</v>
      </c>
      <c r="D569" t="str">
        <f>_xlfn.XLOOKUP('Raw Data'!D569,$V$2:$V$5,$W$2:$W$5,,1)</f>
        <v>19 - 23</v>
      </c>
      <c r="E569">
        <v>1996</v>
      </c>
      <c r="F569" t="str">
        <f>_xlfn.XLOOKUP('Raw Data'!F569,$Q$2:$Q$9,$R$2:$R$9,,1)</f>
        <v>25 - 30</v>
      </c>
      <c r="G569">
        <v>496.8</v>
      </c>
    </row>
    <row r="570" spans="1:7" x14ac:dyDescent="0.25">
      <c r="A570" t="str">
        <f>_xlfn.XLOOKUP('Raw Data'!A570,$M$2:$M$11,$N$2:$N$11,,1)</f>
        <v>38 - 43</v>
      </c>
      <c r="B570" t="str">
        <f>_xlfn.XLOOKUP('Raw Data'!B570,$Q$2:$Q$9,$R$2:$R$9,,1)</f>
        <v>0 - 5</v>
      </c>
      <c r="C570">
        <v>3</v>
      </c>
      <c r="D570" t="str">
        <f>_xlfn.XLOOKUP('Raw Data'!D570,$V$2:$V$5,$W$2:$W$5,,1)</f>
        <v>19 - 23</v>
      </c>
      <c r="E570">
        <v>2013</v>
      </c>
      <c r="F570" t="str">
        <f>_xlfn.XLOOKUP('Raw Data'!F570,$Q$2:$Q$9,$R$2:$R$9,,1)</f>
        <v>10 - 15</v>
      </c>
      <c r="G570">
        <v>497.25</v>
      </c>
    </row>
    <row r="571" spans="1:7" x14ac:dyDescent="0.25">
      <c r="A571" t="str">
        <f>_xlfn.XLOOKUP('Raw Data'!A571,$M$2:$M$11,$N$2:$N$11,,1)</f>
        <v>48 - 53</v>
      </c>
      <c r="B571" t="str">
        <f>_xlfn.XLOOKUP('Raw Data'!B571,$Q$2:$Q$9,$R$2:$R$9,,1)</f>
        <v>10 - 15</v>
      </c>
      <c r="C571">
        <v>1</v>
      </c>
      <c r="D571" t="str">
        <f>_xlfn.XLOOKUP('Raw Data'!D571,$V$2:$V$5,$W$2:$W$5,,1)</f>
        <v>11 - 15</v>
      </c>
      <c r="E571">
        <v>1993</v>
      </c>
      <c r="F571" t="str">
        <f>_xlfn.XLOOKUP('Raw Data'!F571,$Q$2:$Q$9,$R$2:$R$9,,1)</f>
        <v>30 - 35</v>
      </c>
      <c r="G571">
        <v>491.45</v>
      </c>
    </row>
    <row r="572" spans="1:7" x14ac:dyDescent="0.25">
      <c r="A572" t="str">
        <f>_xlfn.XLOOKUP('Raw Data'!A572,$M$2:$M$11,$N$2:$N$11,,1)</f>
        <v>53 - 58</v>
      </c>
      <c r="B572" t="str">
        <f>_xlfn.XLOOKUP('Raw Data'!B572,$Q$2:$Q$9,$R$2:$R$9,,1)</f>
        <v>15 - 20</v>
      </c>
      <c r="C572">
        <v>0</v>
      </c>
      <c r="D572" t="str">
        <f>_xlfn.XLOOKUP('Raw Data'!D572,$V$2:$V$5,$W$2:$W$5,,1)</f>
        <v>19 - 23</v>
      </c>
      <c r="E572">
        <v>2017</v>
      </c>
      <c r="F572" t="str">
        <f>_xlfn.XLOOKUP('Raw Data'!F572,$Q$2:$Q$9,$R$2:$R$9,,1)</f>
        <v>5 - 10</v>
      </c>
      <c r="G572">
        <v>485.4</v>
      </c>
    </row>
    <row r="573" spans="1:7" x14ac:dyDescent="0.25">
      <c r="A573" t="str">
        <f>_xlfn.XLOOKUP('Raw Data'!A573,$M$2:$M$11,$N$2:$N$11,,1)</f>
        <v>43 - 48</v>
      </c>
      <c r="B573" t="str">
        <f>_xlfn.XLOOKUP('Raw Data'!B573,$Q$2:$Q$9,$R$2:$R$9,,1)</f>
        <v>25 - 30</v>
      </c>
      <c r="C573">
        <v>1</v>
      </c>
      <c r="D573" t="str">
        <f>_xlfn.XLOOKUP('Raw Data'!D573,$V$2:$V$5,$W$2:$W$5,,1)</f>
        <v>19 - 23</v>
      </c>
      <c r="E573">
        <v>2004</v>
      </c>
      <c r="F573" t="str">
        <f>_xlfn.XLOOKUP('Raw Data'!F573,$Q$2:$Q$9,$R$2:$R$9,,1)</f>
        <v>20 - 25</v>
      </c>
      <c r="G573">
        <v>486.6</v>
      </c>
    </row>
    <row r="574" spans="1:7" x14ac:dyDescent="0.25">
      <c r="A574" t="str">
        <f>_xlfn.XLOOKUP('Raw Data'!A574,$M$2:$M$11,$N$2:$N$11,,1)</f>
        <v>33 - 38</v>
      </c>
      <c r="B574" t="str">
        <f>_xlfn.XLOOKUP('Raw Data'!B574,$Q$2:$Q$9,$R$2:$R$9,,1)</f>
        <v>15 - 20</v>
      </c>
      <c r="C574">
        <v>5</v>
      </c>
      <c r="D574" t="str">
        <f>_xlfn.XLOOKUP('Raw Data'!D574,$V$2:$V$5,$W$2:$W$5,,1)</f>
        <v>11 - 15</v>
      </c>
      <c r="E574">
        <v>1990</v>
      </c>
      <c r="F574" t="str">
        <f>_xlfn.XLOOKUP('Raw Data'!F574,$Q$2:$Q$9,$R$2:$R$9,,1)</f>
        <v>30 - 35</v>
      </c>
      <c r="G574">
        <v>500.15</v>
      </c>
    </row>
    <row r="575" spans="1:7" x14ac:dyDescent="0.25">
      <c r="A575" t="str">
        <f>_xlfn.XLOOKUP('Raw Data'!A575,$M$2:$M$11,$N$2:$N$11,,1)</f>
        <v>33 - 38</v>
      </c>
      <c r="B575" t="str">
        <f>_xlfn.XLOOKUP('Raw Data'!B575,$Q$2:$Q$9,$R$2:$R$9,,1)</f>
        <v>15 - 20</v>
      </c>
      <c r="C575">
        <v>3</v>
      </c>
      <c r="D575" t="str">
        <f>_xlfn.XLOOKUP('Raw Data'!D575,$V$2:$V$5,$W$2:$W$5,,1)</f>
        <v>11 - 15</v>
      </c>
      <c r="E575">
        <v>1992</v>
      </c>
      <c r="F575" t="str">
        <f>_xlfn.XLOOKUP('Raw Data'!F575,$Q$2:$Q$9,$R$2:$R$9,,1)</f>
        <v>30 - 35</v>
      </c>
      <c r="G575">
        <v>495.35</v>
      </c>
    </row>
    <row r="576" spans="1:7" x14ac:dyDescent="0.25">
      <c r="A576" t="str">
        <f>_xlfn.XLOOKUP('Raw Data'!A576,$M$2:$M$11,$N$2:$N$11,,1)</f>
        <v>63 - 68</v>
      </c>
      <c r="B576" t="str">
        <f>_xlfn.XLOOKUP('Raw Data'!B576,$Q$2:$Q$9,$R$2:$R$9,,1)</f>
        <v>0 - 5</v>
      </c>
      <c r="C576">
        <v>5</v>
      </c>
      <c r="D576" t="str">
        <f>_xlfn.XLOOKUP('Raw Data'!D576,$V$2:$V$5,$W$2:$W$5,,1)</f>
        <v>15 - 19</v>
      </c>
      <c r="E576">
        <v>2003</v>
      </c>
      <c r="F576" t="str">
        <f>_xlfn.XLOOKUP('Raw Data'!F576,$Q$2:$Q$9,$R$2:$R$9,,1)</f>
        <v>20 - 25</v>
      </c>
      <c r="G576">
        <v>496.95</v>
      </c>
    </row>
    <row r="577" spans="1:7" x14ac:dyDescent="0.25">
      <c r="A577" t="str">
        <f>_xlfn.XLOOKUP('Raw Data'!A577,$M$2:$M$11,$N$2:$N$11,,1)</f>
        <v>38 - 43</v>
      </c>
      <c r="B577" t="str">
        <f>_xlfn.XLOOKUP('Raw Data'!B577,$Q$2:$Q$9,$R$2:$R$9,,1)</f>
        <v>20 - 25</v>
      </c>
      <c r="C577">
        <v>3</v>
      </c>
      <c r="D577" t="str">
        <f>_xlfn.XLOOKUP('Raw Data'!D577,$V$2:$V$5,$W$2:$W$5,,1)</f>
        <v>15 - 19</v>
      </c>
      <c r="E577">
        <v>1990</v>
      </c>
      <c r="F577" t="str">
        <f>_xlfn.XLOOKUP('Raw Data'!F577,$Q$2:$Q$9,$R$2:$R$9,,1)</f>
        <v>30 - 35</v>
      </c>
      <c r="G577">
        <v>493.2</v>
      </c>
    </row>
    <row r="578" spans="1:7" x14ac:dyDescent="0.25">
      <c r="A578" t="str">
        <f>_xlfn.XLOOKUP('Raw Data'!A578,$M$2:$M$11,$N$2:$N$11,,1)</f>
        <v>38 - 43</v>
      </c>
      <c r="B578" t="str">
        <f>_xlfn.XLOOKUP('Raw Data'!B578,$Q$2:$Q$9,$R$2:$R$9,,1)</f>
        <v>20 - 25</v>
      </c>
      <c r="C578">
        <v>4</v>
      </c>
      <c r="D578" t="str">
        <f>_xlfn.XLOOKUP('Raw Data'!D578,$V$2:$V$5,$W$2:$W$5,,1)</f>
        <v>11 - 15</v>
      </c>
      <c r="E578">
        <v>2010</v>
      </c>
      <c r="F578" t="str">
        <f>_xlfn.XLOOKUP('Raw Data'!F578,$Q$2:$Q$9,$R$2:$R$9,,1)</f>
        <v>10 - 15</v>
      </c>
      <c r="G578">
        <v>494.1</v>
      </c>
    </row>
    <row r="579" spans="1:7" x14ac:dyDescent="0.25">
      <c r="A579" t="str">
        <f>_xlfn.XLOOKUP('Raw Data'!A579,$M$2:$M$11,$N$2:$N$11,,1)</f>
        <v>28 - 33</v>
      </c>
      <c r="B579" t="str">
        <f>_xlfn.XLOOKUP('Raw Data'!B579,$Q$2:$Q$9,$R$2:$R$9,,1)</f>
        <v>10 - 15</v>
      </c>
      <c r="C579">
        <v>3</v>
      </c>
      <c r="D579" t="str">
        <f>_xlfn.XLOOKUP('Raw Data'!D579,$V$2:$V$5,$W$2:$W$5,,1)</f>
        <v>11 - 15</v>
      </c>
      <c r="E579">
        <v>2018</v>
      </c>
      <c r="F579" t="str">
        <f>_xlfn.XLOOKUP('Raw Data'!F579,$Q$2:$Q$9,$R$2:$R$9,,1)</f>
        <v>5 - 10</v>
      </c>
      <c r="G579">
        <v>496.2</v>
      </c>
    </row>
    <row r="580" spans="1:7" x14ac:dyDescent="0.25">
      <c r="A580" t="str">
        <f>_xlfn.XLOOKUP('Raw Data'!A580,$M$2:$M$11,$N$2:$N$11,,1)</f>
        <v>33 - 38</v>
      </c>
      <c r="B580" t="str">
        <f>_xlfn.XLOOKUP('Raw Data'!B580,$Q$2:$Q$9,$R$2:$R$9,,1)</f>
        <v>15 - 20</v>
      </c>
      <c r="C580">
        <v>2</v>
      </c>
      <c r="D580" t="str">
        <f>_xlfn.XLOOKUP('Raw Data'!D580,$V$2:$V$5,$W$2:$W$5,,1)</f>
        <v>19 - 23</v>
      </c>
      <c r="E580">
        <v>1994</v>
      </c>
      <c r="F580" t="str">
        <f>_xlfn.XLOOKUP('Raw Data'!F580,$Q$2:$Q$9,$R$2:$R$9,,1)</f>
        <v>30 - 35</v>
      </c>
      <c r="G580">
        <v>494.6</v>
      </c>
    </row>
    <row r="581" spans="1:7" x14ac:dyDescent="0.25">
      <c r="A581" t="str">
        <f>_xlfn.XLOOKUP('Raw Data'!A581,$M$2:$M$11,$N$2:$N$11,,1)</f>
        <v>48 - 53</v>
      </c>
      <c r="B581" t="str">
        <f>_xlfn.XLOOKUP('Raw Data'!B581,$Q$2:$Q$9,$R$2:$R$9,,1)</f>
        <v>10 - 15</v>
      </c>
      <c r="C581">
        <v>5</v>
      </c>
      <c r="D581" t="str">
        <f>_xlfn.XLOOKUP('Raw Data'!D581,$V$2:$V$5,$W$2:$W$5,,1)</f>
        <v>15 - 19</v>
      </c>
      <c r="E581">
        <v>1999</v>
      </c>
      <c r="F581" t="str">
        <f>_xlfn.XLOOKUP('Raw Data'!F581,$Q$2:$Q$9,$R$2:$R$9,,1)</f>
        <v>25 - 30</v>
      </c>
      <c r="G581">
        <v>496.85</v>
      </c>
    </row>
    <row r="582" spans="1:7" x14ac:dyDescent="0.25">
      <c r="A582" t="str">
        <f>_xlfn.XLOOKUP('Raw Data'!A582,$M$2:$M$11,$N$2:$N$11,,1)</f>
        <v>28 - 33</v>
      </c>
      <c r="B582" t="str">
        <f>_xlfn.XLOOKUP('Raw Data'!B582,$Q$2:$Q$9,$R$2:$R$9,,1)</f>
        <v>10 - 15</v>
      </c>
      <c r="C582">
        <v>0</v>
      </c>
      <c r="D582" t="str">
        <f>_xlfn.XLOOKUP('Raw Data'!D582,$V$2:$V$5,$W$2:$W$5,,1)</f>
        <v>11 - 15</v>
      </c>
      <c r="E582">
        <v>2017</v>
      </c>
      <c r="F582" t="str">
        <f>_xlfn.XLOOKUP('Raw Data'!F582,$Q$2:$Q$9,$R$2:$R$9,,1)</f>
        <v>5 - 10</v>
      </c>
      <c r="G582">
        <v>492.25</v>
      </c>
    </row>
    <row r="583" spans="1:7" x14ac:dyDescent="0.25">
      <c r="A583" t="str">
        <f>_xlfn.XLOOKUP('Raw Data'!A583,$M$2:$M$11,$N$2:$N$11,,1)</f>
        <v>53 - 58</v>
      </c>
      <c r="B583" t="str">
        <f>_xlfn.XLOOKUP('Raw Data'!B583,$Q$2:$Q$9,$R$2:$R$9,,1)</f>
        <v>0 - 5</v>
      </c>
      <c r="C583">
        <v>4</v>
      </c>
      <c r="D583" t="str">
        <f>_xlfn.XLOOKUP('Raw Data'!D583,$V$2:$V$5,$W$2:$W$5,,1)</f>
        <v>19 - 23</v>
      </c>
      <c r="E583">
        <v>2010</v>
      </c>
      <c r="F583" t="str">
        <f>_xlfn.XLOOKUP('Raw Data'!F583,$Q$2:$Q$9,$R$2:$R$9,,1)</f>
        <v>10 - 15</v>
      </c>
      <c r="G583">
        <v>495.55</v>
      </c>
    </row>
    <row r="584" spans="1:7" x14ac:dyDescent="0.25">
      <c r="A584" t="str">
        <f>_xlfn.XLOOKUP('Raw Data'!A584,$M$2:$M$11,$N$2:$N$11,,1)</f>
        <v>33 - 38</v>
      </c>
      <c r="B584" t="str">
        <f>_xlfn.XLOOKUP('Raw Data'!B584,$Q$2:$Q$9,$R$2:$R$9,,1)</f>
        <v>15 - 20</v>
      </c>
      <c r="C584">
        <v>2</v>
      </c>
      <c r="D584" t="str">
        <f>_xlfn.XLOOKUP('Raw Data'!D584,$V$2:$V$5,$W$2:$W$5,,1)</f>
        <v>19 - 23</v>
      </c>
      <c r="E584">
        <v>1996</v>
      </c>
      <c r="F584" t="str">
        <f>_xlfn.XLOOKUP('Raw Data'!F584,$Q$2:$Q$9,$R$2:$R$9,,1)</f>
        <v>25 - 30</v>
      </c>
      <c r="G584">
        <v>494.45</v>
      </c>
    </row>
    <row r="585" spans="1:7" x14ac:dyDescent="0.25">
      <c r="A585" t="str">
        <f>_xlfn.XLOOKUP('Raw Data'!A585,$M$2:$M$11,$N$2:$N$11,,1)</f>
        <v>28 - 33</v>
      </c>
      <c r="B585" t="str">
        <f>_xlfn.XLOOKUP('Raw Data'!B585,$Q$2:$Q$9,$R$2:$R$9,,1)</f>
        <v>10 - 15</v>
      </c>
      <c r="C585">
        <v>1</v>
      </c>
      <c r="D585" t="str">
        <f>_xlfn.XLOOKUP('Raw Data'!D585,$V$2:$V$5,$W$2:$W$5,,1)</f>
        <v>19 - 23</v>
      </c>
      <c r="E585">
        <v>1992</v>
      </c>
      <c r="F585" t="str">
        <f>_xlfn.XLOOKUP('Raw Data'!F585,$Q$2:$Q$9,$R$2:$R$9,,1)</f>
        <v>30 - 35</v>
      </c>
      <c r="G585">
        <v>496.75</v>
      </c>
    </row>
    <row r="586" spans="1:7" x14ac:dyDescent="0.25">
      <c r="A586" t="str">
        <f>_xlfn.XLOOKUP('Raw Data'!A586,$M$2:$M$11,$N$2:$N$11,,1)</f>
        <v>23 - 28</v>
      </c>
      <c r="B586" t="str">
        <f>_xlfn.XLOOKUP('Raw Data'!B586,$Q$2:$Q$9,$R$2:$R$9,,1)</f>
        <v>5 - 10</v>
      </c>
      <c r="C586">
        <v>5</v>
      </c>
      <c r="D586" t="str">
        <f>_xlfn.XLOOKUP('Raw Data'!D586,$V$2:$V$5,$W$2:$W$5,,1)</f>
        <v>23 - 27</v>
      </c>
      <c r="E586">
        <v>2009</v>
      </c>
      <c r="F586" t="str">
        <f>_xlfn.XLOOKUP('Raw Data'!F586,$Q$2:$Q$9,$R$2:$R$9,,1)</f>
        <v>15 - 20</v>
      </c>
      <c r="G586">
        <v>502.75</v>
      </c>
    </row>
    <row r="587" spans="1:7" x14ac:dyDescent="0.25">
      <c r="A587" t="str">
        <f>_xlfn.XLOOKUP('Raw Data'!A587,$M$2:$M$11,$N$2:$N$11,,1)</f>
        <v>23 - 28</v>
      </c>
      <c r="B587" t="str">
        <f>_xlfn.XLOOKUP('Raw Data'!B587,$Q$2:$Q$9,$R$2:$R$9,,1)</f>
        <v>5 - 10</v>
      </c>
      <c r="C587">
        <v>0</v>
      </c>
      <c r="D587" t="str">
        <f>_xlfn.XLOOKUP('Raw Data'!D587,$V$2:$V$5,$W$2:$W$5,,1)</f>
        <v>23 - 27</v>
      </c>
      <c r="E587">
        <v>2008</v>
      </c>
      <c r="F587" t="str">
        <f>_xlfn.XLOOKUP('Raw Data'!F587,$Q$2:$Q$9,$R$2:$R$9,,1)</f>
        <v>15 - 20</v>
      </c>
      <c r="G587">
        <v>496.3</v>
      </c>
    </row>
    <row r="588" spans="1:7" x14ac:dyDescent="0.25">
      <c r="A588" t="str">
        <f>_xlfn.XLOOKUP('Raw Data'!A588,$M$2:$M$11,$N$2:$N$11,,1)</f>
        <v>43 - 48</v>
      </c>
      <c r="B588" t="str">
        <f>_xlfn.XLOOKUP('Raw Data'!B588,$Q$2:$Q$9,$R$2:$R$9,,1)</f>
        <v>25 - 30</v>
      </c>
      <c r="C588">
        <v>3</v>
      </c>
      <c r="D588" t="str">
        <f>_xlfn.XLOOKUP('Raw Data'!D588,$V$2:$V$5,$W$2:$W$5,,1)</f>
        <v>11 - 15</v>
      </c>
      <c r="E588">
        <v>2024</v>
      </c>
      <c r="F588" t="str">
        <f>_xlfn.XLOOKUP('Raw Data'!F588,$Q$2:$Q$9,$R$2:$R$9,,1)</f>
        <v>0 - 5</v>
      </c>
      <c r="G588">
        <v>488.2</v>
      </c>
    </row>
    <row r="589" spans="1:7" x14ac:dyDescent="0.25">
      <c r="A589" t="str">
        <f>_xlfn.XLOOKUP('Raw Data'!A589,$M$2:$M$11,$N$2:$N$11,,1)</f>
        <v>28 - 33</v>
      </c>
      <c r="B589" t="str">
        <f>_xlfn.XLOOKUP('Raw Data'!B589,$Q$2:$Q$9,$R$2:$R$9,,1)</f>
        <v>10 - 15</v>
      </c>
      <c r="C589">
        <v>0</v>
      </c>
      <c r="D589" t="str">
        <f>_xlfn.XLOOKUP('Raw Data'!D589,$V$2:$V$5,$W$2:$W$5,,1)</f>
        <v>11 - 15</v>
      </c>
      <c r="E589">
        <v>1993</v>
      </c>
      <c r="F589" t="str">
        <f>_xlfn.XLOOKUP('Raw Data'!F589,$Q$2:$Q$9,$R$2:$R$9,,1)</f>
        <v>30 - 35</v>
      </c>
      <c r="G589">
        <v>493.65</v>
      </c>
    </row>
    <row r="590" spans="1:7" x14ac:dyDescent="0.25">
      <c r="A590" t="str">
        <f>_xlfn.XLOOKUP('Raw Data'!A590,$M$2:$M$11,$N$2:$N$11,,1)</f>
        <v>43 - 48</v>
      </c>
      <c r="B590" t="str">
        <f>_xlfn.XLOOKUP('Raw Data'!B590,$Q$2:$Q$9,$R$2:$R$9,,1)</f>
        <v>25 - 30</v>
      </c>
      <c r="C590">
        <v>1</v>
      </c>
      <c r="D590" t="str">
        <f>_xlfn.XLOOKUP('Raw Data'!D590,$V$2:$V$5,$W$2:$W$5,,1)</f>
        <v>19 - 23</v>
      </c>
      <c r="E590">
        <v>1994</v>
      </c>
      <c r="F590" t="str">
        <f>_xlfn.XLOOKUP('Raw Data'!F590,$Q$2:$Q$9,$R$2:$R$9,,1)</f>
        <v>30 - 35</v>
      </c>
      <c r="G590">
        <v>487.15</v>
      </c>
    </row>
    <row r="591" spans="1:7" x14ac:dyDescent="0.25">
      <c r="A591" t="str">
        <f>_xlfn.XLOOKUP('Raw Data'!A591,$M$2:$M$11,$N$2:$N$11,,1)</f>
        <v>33 - 38</v>
      </c>
      <c r="B591" t="str">
        <f>_xlfn.XLOOKUP('Raw Data'!B591,$Q$2:$Q$9,$R$2:$R$9,,1)</f>
        <v>10 - 15</v>
      </c>
      <c r="C591">
        <v>4</v>
      </c>
      <c r="D591" t="str">
        <f>_xlfn.XLOOKUP('Raw Data'!D591,$V$2:$V$5,$W$2:$W$5,,1)</f>
        <v>15 - 19</v>
      </c>
      <c r="E591">
        <v>1990</v>
      </c>
      <c r="F591" t="str">
        <f>_xlfn.XLOOKUP('Raw Data'!F591,$Q$2:$Q$9,$R$2:$R$9,,1)</f>
        <v>30 - 35</v>
      </c>
      <c r="G591">
        <v>499.5</v>
      </c>
    </row>
    <row r="592" spans="1:7" x14ac:dyDescent="0.25">
      <c r="A592" t="str">
        <f>_xlfn.XLOOKUP('Raw Data'!A592,$M$2:$M$11,$N$2:$N$11,,1)</f>
        <v>63 - 68</v>
      </c>
      <c r="B592" t="str">
        <f>_xlfn.XLOOKUP('Raw Data'!B592,$Q$2:$Q$9,$R$2:$R$9,,1)</f>
        <v>20 - 25</v>
      </c>
      <c r="C592">
        <v>4</v>
      </c>
      <c r="D592" t="str">
        <f>_xlfn.XLOOKUP('Raw Data'!D592,$V$2:$V$5,$W$2:$W$5,,1)</f>
        <v>11 - 15</v>
      </c>
      <c r="E592">
        <v>1993</v>
      </c>
      <c r="F592" t="str">
        <f>_xlfn.XLOOKUP('Raw Data'!F592,$Q$2:$Q$9,$R$2:$R$9,,1)</f>
        <v>30 - 35</v>
      </c>
      <c r="G592">
        <v>489.9</v>
      </c>
    </row>
    <row r="593" spans="1:7" x14ac:dyDescent="0.25">
      <c r="A593" t="str">
        <f>_xlfn.XLOOKUP('Raw Data'!A593,$M$2:$M$11,$N$2:$N$11,,1)</f>
        <v>28 - 33</v>
      </c>
      <c r="B593" t="str">
        <f>_xlfn.XLOOKUP('Raw Data'!B593,$Q$2:$Q$9,$R$2:$R$9,,1)</f>
        <v>10 - 15</v>
      </c>
      <c r="C593">
        <v>5</v>
      </c>
      <c r="D593" t="str">
        <f>_xlfn.XLOOKUP('Raw Data'!D593,$V$2:$V$5,$W$2:$W$5,,1)</f>
        <v>11 - 15</v>
      </c>
      <c r="E593">
        <v>2001</v>
      </c>
      <c r="F593" t="str">
        <f>_xlfn.XLOOKUP('Raw Data'!F593,$Q$2:$Q$9,$R$2:$R$9,,1)</f>
        <v>20 - 25</v>
      </c>
      <c r="G593">
        <v>499.55</v>
      </c>
    </row>
    <row r="594" spans="1:7" x14ac:dyDescent="0.25">
      <c r="A594" t="str">
        <f>_xlfn.XLOOKUP('Raw Data'!A594,$M$2:$M$11,$N$2:$N$11,,1)</f>
        <v>18 - 23</v>
      </c>
      <c r="B594" t="str">
        <f>_xlfn.XLOOKUP('Raw Data'!B594,$Q$2:$Q$9,$R$2:$R$9,,1)</f>
        <v>0 - 5</v>
      </c>
      <c r="C594">
        <v>4</v>
      </c>
      <c r="D594" t="str">
        <f>_xlfn.XLOOKUP('Raw Data'!D594,$V$2:$V$5,$W$2:$W$5,,1)</f>
        <v>11 - 15</v>
      </c>
      <c r="E594">
        <v>2016</v>
      </c>
      <c r="F594" t="str">
        <f>_xlfn.XLOOKUP('Raw Data'!F594,$Q$2:$Q$9,$R$2:$R$9,,1)</f>
        <v>5 - 10</v>
      </c>
      <c r="G594">
        <v>502.05</v>
      </c>
    </row>
    <row r="595" spans="1:7" x14ac:dyDescent="0.25">
      <c r="A595" t="str">
        <f>_xlfn.XLOOKUP('Raw Data'!A595,$M$2:$M$11,$N$2:$N$11,,1)</f>
        <v>48 - 53</v>
      </c>
      <c r="B595" t="str">
        <f>_xlfn.XLOOKUP('Raw Data'!B595,$Q$2:$Q$9,$R$2:$R$9,,1)</f>
        <v>30 - 35</v>
      </c>
      <c r="C595">
        <v>5</v>
      </c>
      <c r="D595" t="str">
        <f>_xlfn.XLOOKUP('Raw Data'!D595,$V$2:$V$5,$W$2:$W$5,,1)</f>
        <v>15 - 19</v>
      </c>
      <c r="E595">
        <v>2012</v>
      </c>
      <c r="F595" t="str">
        <f>_xlfn.XLOOKUP('Raw Data'!F595,$Q$2:$Q$9,$R$2:$R$9,,1)</f>
        <v>10 - 15</v>
      </c>
      <c r="G595">
        <v>489.15</v>
      </c>
    </row>
    <row r="596" spans="1:7" x14ac:dyDescent="0.25">
      <c r="A596" t="str">
        <f>_xlfn.XLOOKUP('Raw Data'!A596,$M$2:$M$11,$N$2:$N$11,,1)</f>
        <v>28 - 33</v>
      </c>
      <c r="B596" t="str">
        <f>_xlfn.XLOOKUP('Raw Data'!B596,$Q$2:$Q$9,$R$2:$R$9,,1)</f>
        <v>5 - 10</v>
      </c>
      <c r="C596">
        <v>5</v>
      </c>
      <c r="D596" t="str">
        <f>_xlfn.XLOOKUP('Raw Data'!D596,$V$2:$V$5,$W$2:$W$5,,1)</f>
        <v>11 - 15</v>
      </c>
      <c r="E596">
        <v>2014</v>
      </c>
      <c r="F596" t="str">
        <f>_xlfn.XLOOKUP('Raw Data'!F596,$Q$2:$Q$9,$R$2:$R$9,,1)</f>
        <v>10 - 15</v>
      </c>
      <c r="G596">
        <v>501.55</v>
      </c>
    </row>
    <row r="597" spans="1:7" x14ac:dyDescent="0.25">
      <c r="A597" t="str">
        <f>_xlfn.XLOOKUP('Raw Data'!A597,$M$2:$M$11,$N$2:$N$11,,1)</f>
        <v>38 - 43</v>
      </c>
      <c r="B597" t="str">
        <f>_xlfn.XLOOKUP('Raw Data'!B597,$Q$2:$Q$9,$R$2:$R$9,,1)</f>
        <v>0 - 5</v>
      </c>
      <c r="C597">
        <v>5</v>
      </c>
      <c r="D597" t="str">
        <f>_xlfn.XLOOKUP('Raw Data'!D597,$V$2:$V$5,$W$2:$W$5,,1)</f>
        <v>19 - 23</v>
      </c>
      <c r="E597">
        <v>2010</v>
      </c>
      <c r="F597" t="str">
        <f>_xlfn.XLOOKUP('Raw Data'!F597,$Q$2:$Q$9,$R$2:$R$9,,1)</f>
        <v>10 - 15</v>
      </c>
      <c r="G597">
        <v>500.55</v>
      </c>
    </row>
    <row r="598" spans="1:7" x14ac:dyDescent="0.25">
      <c r="A598" t="str">
        <f>_xlfn.XLOOKUP('Raw Data'!A598,$M$2:$M$11,$N$2:$N$11,,1)</f>
        <v>33 - 38</v>
      </c>
      <c r="B598" t="str">
        <f>_xlfn.XLOOKUP('Raw Data'!B598,$Q$2:$Q$9,$R$2:$R$9,,1)</f>
        <v>15 - 20</v>
      </c>
      <c r="C598">
        <v>3</v>
      </c>
      <c r="D598" t="str">
        <f>_xlfn.XLOOKUP('Raw Data'!D598,$V$2:$V$5,$W$2:$W$5,,1)</f>
        <v>11 - 15</v>
      </c>
      <c r="E598">
        <v>2013</v>
      </c>
      <c r="F598" t="str">
        <f>_xlfn.XLOOKUP('Raw Data'!F598,$Q$2:$Q$9,$R$2:$R$9,,1)</f>
        <v>10 - 15</v>
      </c>
      <c r="G598">
        <v>492.7</v>
      </c>
    </row>
    <row r="599" spans="1:7" x14ac:dyDescent="0.25">
      <c r="A599" t="str">
        <f>_xlfn.XLOOKUP('Raw Data'!A599,$M$2:$M$11,$N$2:$N$11,,1)</f>
        <v>48 - 53</v>
      </c>
      <c r="B599" t="str">
        <f>_xlfn.XLOOKUP('Raw Data'!B599,$Q$2:$Q$9,$R$2:$R$9,,1)</f>
        <v>20 - 25</v>
      </c>
      <c r="C599">
        <v>2</v>
      </c>
      <c r="D599" t="str">
        <f>_xlfn.XLOOKUP('Raw Data'!D599,$V$2:$V$5,$W$2:$W$5,,1)</f>
        <v>19 - 23</v>
      </c>
      <c r="E599">
        <v>2014</v>
      </c>
      <c r="F599" t="str">
        <f>_xlfn.XLOOKUP('Raw Data'!F599,$Q$2:$Q$9,$R$2:$R$9,,1)</f>
        <v>10 - 15</v>
      </c>
      <c r="G599">
        <v>488.05</v>
      </c>
    </row>
    <row r="600" spans="1:7" x14ac:dyDescent="0.25">
      <c r="A600" t="str">
        <f>_xlfn.XLOOKUP('Raw Data'!A600,$M$2:$M$11,$N$2:$N$11,,1)</f>
        <v>38 - 43</v>
      </c>
      <c r="B600" t="str">
        <f>_xlfn.XLOOKUP('Raw Data'!B600,$Q$2:$Q$9,$R$2:$R$9,,1)</f>
        <v>5 - 10</v>
      </c>
      <c r="C600">
        <v>5</v>
      </c>
      <c r="D600" t="str">
        <f>_xlfn.XLOOKUP('Raw Data'!D600,$V$2:$V$5,$W$2:$W$5,,1)</f>
        <v>15 - 19</v>
      </c>
      <c r="E600">
        <v>2021</v>
      </c>
      <c r="F600" t="str">
        <f>_xlfn.XLOOKUP('Raw Data'!F600,$Q$2:$Q$9,$R$2:$R$9,,1)</f>
        <v>0 - 5</v>
      </c>
      <c r="G600">
        <v>498</v>
      </c>
    </row>
    <row r="601" spans="1:7" x14ac:dyDescent="0.25">
      <c r="A601" t="str">
        <f>_xlfn.XLOOKUP('Raw Data'!A601,$M$2:$M$11,$N$2:$N$11,,1)</f>
        <v>28 - 33</v>
      </c>
      <c r="B601" t="str">
        <f>_xlfn.XLOOKUP('Raw Data'!B601,$Q$2:$Q$9,$R$2:$R$9,,1)</f>
        <v>10 - 15</v>
      </c>
      <c r="C601">
        <v>5</v>
      </c>
      <c r="D601" t="str">
        <f>_xlfn.XLOOKUP('Raw Data'!D601,$V$2:$V$5,$W$2:$W$5,,1)</f>
        <v>11 - 15</v>
      </c>
      <c r="E601">
        <v>2021</v>
      </c>
      <c r="F601" t="str">
        <f>_xlfn.XLOOKUP('Raw Data'!F601,$Q$2:$Q$9,$R$2:$R$9,,1)</f>
        <v>0 - 5</v>
      </c>
      <c r="G601">
        <v>497.55</v>
      </c>
    </row>
    <row r="602" spans="1:7" x14ac:dyDescent="0.25">
      <c r="A602" t="str">
        <f>_xlfn.XLOOKUP('Raw Data'!A602,$M$2:$M$11,$N$2:$N$11,,1)</f>
        <v>53 - 58</v>
      </c>
      <c r="B602" t="str">
        <f>_xlfn.XLOOKUP('Raw Data'!B602,$Q$2:$Q$9,$R$2:$R$9,,1)</f>
        <v>25 - 30</v>
      </c>
      <c r="C602">
        <v>2</v>
      </c>
      <c r="D602" t="str">
        <f>_xlfn.XLOOKUP('Raw Data'!D602,$V$2:$V$5,$W$2:$W$5,,1)</f>
        <v>19 - 23</v>
      </c>
      <c r="E602">
        <v>1994</v>
      </c>
      <c r="F602" t="str">
        <f>_xlfn.XLOOKUP('Raw Data'!F602,$Q$2:$Q$9,$R$2:$R$9,,1)</f>
        <v>30 - 35</v>
      </c>
      <c r="G602">
        <v>487.25</v>
      </c>
    </row>
    <row r="603" spans="1:7" x14ac:dyDescent="0.25">
      <c r="A603" t="str">
        <f>_xlfn.XLOOKUP('Raw Data'!A603,$M$2:$M$11,$N$2:$N$11,,1)</f>
        <v>58 - 63</v>
      </c>
      <c r="B603" t="str">
        <f>_xlfn.XLOOKUP('Raw Data'!B603,$Q$2:$Q$9,$R$2:$R$9,,1)</f>
        <v>35 - 40</v>
      </c>
      <c r="C603">
        <v>0</v>
      </c>
      <c r="D603" t="str">
        <f>_xlfn.XLOOKUP('Raw Data'!D603,$V$2:$V$5,$W$2:$W$5,,1)</f>
        <v>15 - 19</v>
      </c>
      <c r="E603">
        <v>2025</v>
      </c>
      <c r="F603" t="str">
        <f>_xlfn.XLOOKUP('Raw Data'!F603,$Q$2:$Q$9,$R$2:$R$9,,1)</f>
        <v>0 - 5</v>
      </c>
      <c r="G603">
        <v>477.05</v>
      </c>
    </row>
    <row r="604" spans="1:7" x14ac:dyDescent="0.25">
      <c r="A604" t="str">
        <f>_xlfn.XLOOKUP('Raw Data'!A604,$M$2:$M$11,$N$2:$N$11,,1)</f>
        <v>58 - 63</v>
      </c>
      <c r="B604" t="str">
        <f>_xlfn.XLOOKUP('Raw Data'!B604,$Q$2:$Q$9,$R$2:$R$9,,1)</f>
        <v>25 - 30</v>
      </c>
      <c r="C604">
        <v>5</v>
      </c>
      <c r="D604" t="str">
        <f>_xlfn.XLOOKUP('Raw Data'!D604,$V$2:$V$5,$W$2:$W$5,,1)</f>
        <v>11 - 15</v>
      </c>
      <c r="E604">
        <v>2005</v>
      </c>
      <c r="F604" t="str">
        <f>_xlfn.XLOOKUP('Raw Data'!F604,$Q$2:$Q$9,$R$2:$R$9,,1)</f>
        <v>15 - 20</v>
      </c>
      <c r="G604">
        <v>489.35</v>
      </c>
    </row>
    <row r="605" spans="1:7" x14ac:dyDescent="0.25">
      <c r="A605" t="str">
        <f>_xlfn.XLOOKUP('Raw Data'!A605,$M$2:$M$11,$N$2:$N$11,,1)</f>
        <v>53 - 58</v>
      </c>
      <c r="B605" t="str">
        <f>_xlfn.XLOOKUP('Raw Data'!B605,$Q$2:$Q$9,$R$2:$R$9,,1)</f>
        <v>15 - 20</v>
      </c>
      <c r="C605">
        <v>3</v>
      </c>
      <c r="D605" t="str">
        <f>_xlfn.XLOOKUP('Raw Data'!D605,$V$2:$V$5,$W$2:$W$5,,1)</f>
        <v>11 - 15</v>
      </c>
      <c r="E605">
        <v>2022</v>
      </c>
      <c r="F605" t="str">
        <f>_xlfn.XLOOKUP('Raw Data'!F605,$Q$2:$Q$9,$R$2:$R$9,,1)</f>
        <v>0 - 5</v>
      </c>
      <c r="G605">
        <v>489.15</v>
      </c>
    </row>
    <row r="606" spans="1:7" x14ac:dyDescent="0.25">
      <c r="A606" t="str">
        <f>_xlfn.XLOOKUP('Raw Data'!A606,$M$2:$M$11,$N$2:$N$11,,1)</f>
        <v>28 - 33</v>
      </c>
      <c r="B606" t="str">
        <f>_xlfn.XLOOKUP('Raw Data'!B606,$Q$2:$Q$9,$R$2:$R$9,,1)</f>
        <v>10 - 15</v>
      </c>
      <c r="C606">
        <v>4</v>
      </c>
      <c r="D606" t="str">
        <f>_xlfn.XLOOKUP('Raw Data'!D606,$V$2:$V$5,$W$2:$W$5,,1)</f>
        <v>19 - 23</v>
      </c>
      <c r="E606">
        <v>2010</v>
      </c>
      <c r="F606" t="str">
        <f>_xlfn.XLOOKUP('Raw Data'!F606,$Q$2:$Q$9,$R$2:$R$9,,1)</f>
        <v>10 - 15</v>
      </c>
      <c r="G606">
        <v>498.4</v>
      </c>
    </row>
    <row r="607" spans="1:7" x14ac:dyDescent="0.25">
      <c r="A607" t="str">
        <f>_xlfn.XLOOKUP('Raw Data'!A607,$M$2:$M$11,$N$2:$N$11,,1)</f>
        <v>43 - 48</v>
      </c>
      <c r="B607" t="str">
        <f>_xlfn.XLOOKUP('Raw Data'!B607,$Q$2:$Q$9,$R$2:$R$9,,1)</f>
        <v>0 - 5</v>
      </c>
      <c r="C607">
        <v>4</v>
      </c>
      <c r="D607" t="str">
        <f>_xlfn.XLOOKUP('Raw Data'!D607,$V$2:$V$5,$W$2:$W$5,,1)</f>
        <v>11 - 15</v>
      </c>
      <c r="E607">
        <v>1998</v>
      </c>
      <c r="F607" t="str">
        <f>_xlfn.XLOOKUP('Raw Data'!F607,$Q$2:$Q$9,$R$2:$R$9,,1)</f>
        <v>25 - 30</v>
      </c>
      <c r="G607">
        <v>499.4</v>
      </c>
    </row>
    <row r="608" spans="1:7" x14ac:dyDescent="0.25">
      <c r="A608" t="str">
        <f>_xlfn.XLOOKUP('Raw Data'!A608,$M$2:$M$11,$N$2:$N$11,,1)</f>
        <v>18 - 23</v>
      </c>
      <c r="B608" t="str">
        <f>_xlfn.XLOOKUP('Raw Data'!B608,$Q$2:$Q$9,$R$2:$R$9,,1)</f>
        <v>0 - 5</v>
      </c>
      <c r="C608">
        <v>1</v>
      </c>
      <c r="D608" t="str">
        <f>_xlfn.XLOOKUP('Raw Data'!D608,$V$2:$V$5,$W$2:$W$5,,1)</f>
        <v>19 - 23</v>
      </c>
      <c r="E608">
        <v>1995</v>
      </c>
      <c r="F608" t="str">
        <f>_xlfn.XLOOKUP('Raw Data'!F608,$Q$2:$Q$9,$R$2:$R$9,,1)</f>
        <v>25 - 30</v>
      </c>
      <c r="G608">
        <v>500.05</v>
      </c>
    </row>
    <row r="609" spans="1:7" x14ac:dyDescent="0.25">
      <c r="A609" t="str">
        <f>_xlfn.XLOOKUP('Raw Data'!A609,$M$2:$M$11,$N$2:$N$11,,1)</f>
        <v>48 - 53</v>
      </c>
      <c r="B609" t="str">
        <f>_xlfn.XLOOKUP('Raw Data'!B609,$Q$2:$Q$9,$R$2:$R$9,,1)</f>
        <v>10 - 15</v>
      </c>
      <c r="C609">
        <v>1</v>
      </c>
      <c r="D609" t="str">
        <f>_xlfn.XLOOKUP('Raw Data'!D609,$V$2:$V$5,$W$2:$W$5,,1)</f>
        <v>11 - 15</v>
      </c>
      <c r="E609">
        <v>2024</v>
      </c>
      <c r="F609" t="str">
        <f>_xlfn.XLOOKUP('Raw Data'!F609,$Q$2:$Q$9,$R$2:$R$9,,1)</f>
        <v>0 - 5</v>
      </c>
      <c r="G609">
        <v>488.25</v>
      </c>
    </row>
    <row r="610" spans="1:7" x14ac:dyDescent="0.25">
      <c r="A610" t="str">
        <f>_xlfn.XLOOKUP('Raw Data'!A610,$M$2:$M$11,$N$2:$N$11,,1)</f>
        <v>38 - 43</v>
      </c>
      <c r="B610" t="str">
        <f>_xlfn.XLOOKUP('Raw Data'!B610,$Q$2:$Q$9,$R$2:$R$9,,1)</f>
        <v>20 - 25</v>
      </c>
      <c r="C610">
        <v>4</v>
      </c>
      <c r="D610" t="str">
        <f>_xlfn.XLOOKUP('Raw Data'!D610,$V$2:$V$5,$W$2:$W$5,,1)</f>
        <v>19 - 23</v>
      </c>
      <c r="E610">
        <v>2011</v>
      </c>
      <c r="F610" t="str">
        <f>_xlfn.XLOOKUP('Raw Data'!F610,$Q$2:$Q$9,$R$2:$R$9,,1)</f>
        <v>10 - 15</v>
      </c>
      <c r="G610">
        <v>493.8</v>
      </c>
    </row>
    <row r="611" spans="1:7" x14ac:dyDescent="0.25">
      <c r="A611" t="str">
        <f>_xlfn.XLOOKUP('Raw Data'!A611,$M$2:$M$11,$N$2:$N$11,,1)</f>
        <v>43 - 48</v>
      </c>
      <c r="B611" t="str">
        <f>_xlfn.XLOOKUP('Raw Data'!B611,$Q$2:$Q$9,$R$2:$R$9,,1)</f>
        <v>10 - 15</v>
      </c>
      <c r="C611">
        <v>4</v>
      </c>
      <c r="D611" t="str">
        <f>_xlfn.XLOOKUP('Raw Data'!D611,$V$2:$V$5,$W$2:$W$5,,1)</f>
        <v>11 - 15</v>
      </c>
      <c r="E611">
        <v>1994</v>
      </c>
      <c r="F611" t="str">
        <f>_xlfn.XLOOKUP('Raw Data'!F611,$Q$2:$Q$9,$R$2:$R$9,,1)</f>
        <v>30 - 35</v>
      </c>
      <c r="G611">
        <v>497.15</v>
      </c>
    </row>
    <row r="612" spans="1:7" x14ac:dyDescent="0.25">
      <c r="A612" t="str">
        <f>_xlfn.XLOOKUP('Raw Data'!A612,$M$2:$M$11,$N$2:$N$11,,1)</f>
        <v>58 - 63</v>
      </c>
      <c r="B612" t="str">
        <f>_xlfn.XLOOKUP('Raw Data'!B612,$Q$2:$Q$9,$R$2:$R$9,,1)</f>
        <v>35 - 40</v>
      </c>
      <c r="C612">
        <v>3</v>
      </c>
      <c r="D612" t="str">
        <f>_xlfn.XLOOKUP('Raw Data'!D612,$V$2:$V$5,$W$2:$W$5,,1)</f>
        <v>11 - 15</v>
      </c>
      <c r="E612">
        <v>2012</v>
      </c>
      <c r="F612" t="str">
        <f>_xlfn.XLOOKUP('Raw Data'!F612,$Q$2:$Q$9,$R$2:$R$9,,1)</f>
        <v>10 - 15</v>
      </c>
      <c r="G612">
        <v>483.15</v>
      </c>
    </row>
    <row r="613" spans="1:7" x14ac:dyDescent="0.25">
      <c r="A613" t="str">
        <f>_xlfn.XLOOKUP('Raw Data'!A613,$M$2:$M$11,$N$2:$N$11,,1)</f>
        <v>23 - 28</v>
      </c>
      <c r="B613" t="str">
        <f>_xlfn.XLOOKUP('Raw Data'!B613,$Q$2:$Q$9,$R$2:$R$9,,1)</f>
        <v>0 - 5</v>
      </c>
      <c r="C613">
        <v>2</v>
      </c>
      <c r="D613" t="str">
        <f>_xlfn.XLOOKUP('Raw Data'!D613,$V$2:$V$5,$W$2:$W$5,,1)</f>
        <v>23 - 27</v>
      </c>
      <c r="E613">
        <v>2006</v>
      </c>
      <c r="F613" t="str">
        <f>_xlfn.XLOOKUP('Raw Data'!F613,$Q$2:$Q$9,$R$2:$R$9,,1)</f>
        <v>15 - 20</v>
      </c>
      <c r="G613">
        <v>500.2</v>
      </c>
    </row>
    <row r="614" spans="1:7" x14ac:dyDescent="0.25">
      <c r="A614" t="str">
        <f>_xlfn.XLOOKUP('Raw Data'!A614,$M$2:$M$11,$N$2:$N$11,,1)</f>
        <v>33 - 38</v>
      </c>
      <c r="B614" t="str">
        <f>_xlfn.XLOOKUP('Raw Data'!B614,$Q$2:$Q$9,$R$2:$R$9,,1)</f>
        <v>15 - 20</v>
      </c>
      <c r="C614">
        <v>1</v>
      </c>
      <c r="D614" t="str">
        <f>_xlfn.XLOOKUP('Raw Data'!D614,$V$2:$V$5,$W$2:$W$5,,1)</f>
        <v>23 - 27</v>
      </c>
      <c r="E614">
        <v>2001</v>
      </c>
      <c r="F614" t="str">
        <f>_xlfn.XLOOKUP('Raw Data'!F614,$Q$2:$Q$9,$R$2:$R$9,,1)</f>
        <v>20 - 25</v>
      </c>
      <c r="G614">
        <v>493.05</v>
      </c>
    </row>
    <row r="615" spans="1:7" x14ac:dyDescent="0.25">
      <c r="A615" t="str">
        <f>_xlfn.XLOOKUP('Raw Data'!A615,$M$2:$M$11,$N$2:$N$11,,1)</f>
        <v>63 - 68</v>
      </c>
      <c r="B615" t="str">
        <f>_xlfn.XLOOKUP('Raw Data'!B615,$Q$2:$Q$9,$R$2:$R$9,,1)</f>
        <v>10 - 15</v>
      </c>
      <c r="C615">
        <v>2</v>
      </c>
      <c r="D615" t="str">
        <f>_xlfn.XLOOKUP('Raw Data'!D615,$V$2:$V$5,$W$2:$W$5,,1)</f>
        <v>19 - 23</v>
      </c>
      <c r="E615">
        <v>2012</v>
      </c>
      <c r="F615" t="str">
        <f>_xlfn.XLOOKUP('Raw Data'!F615,$Q$2:$Q$9,$R$2:$R$9,,1)</f>
        <v>10 - 15</v>
      </c>
      <c r="G615">
        <v>489</v>
      </c>
    </row>
    <row r="616" spans="1:7" x14ac:dyDescent="0.25">
      <c r="A616" t="str">
        <f>_xlfn.XLOOKUP('Raw Data'!A616,$M$2:$M$11,$N$2:$N$11,,1)</f>
        <v>28 - 33</v>
      </c>
      <c r="B616" t="str">
        <f>_xlfn.XLOOKUP('Raw Data'!B616,$Q$2:$Q$9,$R$2:$R$9,,1)</f>
        <v>10 - 15</v>
      </c>
      <c r="C616">
        <v>3</v>
      </c>
      <c r="D616" t="str">
        <f>_xlfn.XLOOKUP('Raw Data'!D616,$V$2:$V$5,$W$2:$W$5,,1)</f>
        <v>11 - 15</v>
      </c>
      <c r="E616">
        <v>2005</v>
      </c>
      <c r="F616" t="str">
        <f>_xlfn.XLOOKUP('Raw Data'!F616,$Q$2:$Q$9,$R$2:$R$9,,1)</f>
        <v>15 - 20</v>
      </c>
      <c r="G616">
        <v>498.15</v>
      </c>
    </row>
    <row r="617" spans="1:7" x14ac:dyDescent="0.25">
      <c r="A617" t="str">
        <f>_xlfn.XLOOKUP('Raw Data'!A617,$M$2:$M$11,$N$2:$N$11,,1)</f>
        <v>23 - 28</v>
      </c>
      <c r="B617" t="str">
        <f>_xlfn.XLOOKUP('Raw Data'!B617,$Q$2:$Q$9,$R$2:$R$9,,1)</f>
        <v>5 - 10</v>
      </c>
      <c r="C617">
        <v>4</v>
      </c>
      <c r="D617" t="str">
        <f>_xlfn.XLOOKUP('Raw Data'!D617,$V$2:$V$5,$W$2:$W$5,,1)</f>
        <v>19 - 23</v>
      </c>
      <c r="E617">
        <v>1992</v>
      </c>
      <c r="F617" t="str">
        <f>_xlfn.XLOOKUP('Raw Data'!F617,$Q$2:$Q$9,$R$2:$R$9,,1)</f>
        <v>30 - 35</v>
      </c>
      <c r="G617">
        <v>502.8</v>
      </c>
    </row>
    <row r="618" spans="1:7" x14ac:dyDescent="0.25">
      <c r="A618" t="str">
        <f>_xlfn.XLOOKUP('Raw Data'!A618,$M$2:$M$11,$N$2:$N$11,,1)</f>
        <v>23 - 28</v>
      </c>
      <c r="B618" t="str">
        <f>_xlfn.XLOOKUP('Raw Data'!B618,$Q$2:$Q$9,$R$2:$R$9,,1)</f>
        <v>5 - 10</v>
      </c>
      <c r="C618">
        <v>5</v>
      </c>
      <c r="D618" t="str">
        <f>_xlfn.XLOOKUP('Raw Data'!D618,$V$2:$V$5,$W$2:$W$5,,1)</f>
        <v>19 - 23</v>
      </c>
      <c r="E618">
        <v>2019</v>
      </c>
      <c r="F618" t="str">
        <f>_xlfn.XLOOKUP('Raw Data'!F618,$Q$2:$Q$9,$R$2:$R$9,,1)</f>
        <v>5 - 10</v>
      </c>
      <c r="G618">
        <v>501.05</v>
      </c>
    </row>
    <row r="619" spans="1:7" x14ac:dyDescent="0.25">
      <c r="A619" t="str">
        <f>_xlfn.XLOOKUP('Raw Data'!A619,$M$2:$M$11,$N$2:$N$11,,1)</f>
        <v>58 - 63</v>
      </c>
      <c r="B619" t="str">
        <f>_xlfn.XLOOKUP('Raw Data'!B619,$Q$2:$Q$9,$R$2:$R$9,,1)</f>
        <v>35 - 40</v>
      </c>
      <c r="C619">
        <v>2</v>
      </c>
      <c r="D619" t="str">
        <f>_xlfn.XLOOKUP('Raw Data'!D619,$V$2:$V$5,$W$2:$W$5,,1)</f>
        <v>15 - 19</v>
      </c>
      <c r="E619">
        <v>2011</v>
      </c>
      <c r="F619" t="str">
        <f>_xlfn.XLOOKUP('Raw Data'!F619,$Q$2:$Q$9,$R$2:$R$9,,1)</f>
        <v>10 - 15</v>
      </c>
      <c r="G619">
        <v>481.35</v>
      </c>
    </row>
    <row r="620" spans="1:7" x14ac:dyDescent="0.25">
      <c r="A620" t="str">
        <f>_xlfn.XLOOKUP('Raw Data'!A620,$M$2:$M$11,$N$2:$N$11,,1)</f>
        <v>33 - 38</v>
      </c>
      <c r="B620" t="str">
        <f>_xlfn.XLOOKUP('Raw Data'!B620,$Q$2:$Q$9,$R$2:$R$9,,1)</f>
        <v>15 - 20</v>
      </c>
      <c r="C620">
        <v>4</v>
      </c>
      <c r="D620" t="str">
        <f>_xlfn.XLOOKUP('Raw Data'!D620,$V$2:$V$5,$W$2:$W$5,,1)</f>
        <v>11 - 15</v>
      </c>
      <c r="E620">
        <v>1998</v>
      </c>
      <c r="F620" t="str">
        <f>_xlfn.XLOOKUP('Raw Data'!F620,$Q$2:$Q$9,$R$2:$R$9,,1)</f>
        <v>25 - 30</v>
      </c>
      <c r="G620">
        <v>497.8</v>
      </c>
    </row>
    <row r="621" spans="1:7" x14ac:dyDescent="0.25">
      <c r="A621" t="str">
        <f>_xlfn.XLOOKUP('Raw Data'!A621,$M$2:$M$11,$N$2:$N$11,,1)</f>
        <v>53 - 58</v>
      </c>
      <c r="B621" t="str">
        <f>_xlfn.XLOOKUP('Raw Data'!B621,$Q$2:$Q$9,$R$2:$R$9,,1)</f>
        <v>30 - 35</v>
      </c>
      <c r="C621">
        <v>4</v>
      </c>
      <c r="D621" t="str">
        <f>_xlfn.XLOOKUP('Raw Data'!D621,$V$2:$V$5,$W$2:$W$5,,1)</f>
        <v>11 - 15</v>
      </c>
      <c r="E621">
        <v>2018</v>
      </c>
      <c r="F621" t="str">
        <f>_xlfn.XLOOKUP('Raw Data'!F621,$Q$2:$Q$9,$R$2:$R$9,,1)</f>
        <v>5 - 10</v>
      </c>
      <c r="G621">
        <v>486.45</v>
      </c>
    </row>
    <row r="622" spans="1:7" x14ac:dyDescent="0.25">
      <c r="A622" t="str">
        <f>_xlfn.XLOOKUP('Raw Data'!A622,$M$2:$M$11,$N$2:$N$11,,1)</f>
        <v>23 - 28</v>
      </c>
      <c r="B622" t="str">
        <f>_xlfn.XLOOKUP('Raw Data'!B622,$Q$2:$Q$9,$R$2:$R$9,,1)</f>
        <v>5 - 10</v>
      </c>
      <c r="C622">
        <v>0</v>
      </c>
      <c r="D622" t="str">
        <f>_xlfn.XLOOKUP('Raw Data'!D622,$V$2:$V$5,$W$2:$W$5,,1)</f>
        <v>11 - 15</v>
      </c>
      <c r="E622">
        <v>2012</v>
      </c>
      <c r="F622" t="str">
        <f>_xlfn.XLOOKUP('Raw Data'!F622,$Q$2:$Q$9,$R$2:$R$9,,1)</f>
        <v>10 - 15</v>
      </c>
      <c r="G622">
        <v>495.25</v>
      </c>
    </row>
    <row r="623" spans="1:7" x14ac:dyDescent="0.25">
      <c r="A623" t="str">
        <f>_xlfn.XLOOKUP('Raw Data'!A623,$M$2:$M$11,$N$2:$N$11,,1)</f>
        <v>58 - 63</v>
      </c>
      <c r="B623" t="str">
        <f>_xlfn.XLOOKUP('Raw Data'!B623,$Q$2:$Q$9,$R$2:$R$9,,1)</f>
        <v>30 - 35</v>
      </c>
      <c r="C623">
        <v>2</v>
      </c>
      <c r="D623" t="str">
        <f>_xlfn.XLOOKUP('Raw Data'!D623,$V$2:$V$5,$W$2:$W$5,,1)</f>
        <v>19 - 23</v>
      </c>
      <c r="E623">
        <v>2002</v>
      </c>
      <c r="F623" t="str">
        <f>_xlfn.XLOOKUP('Raw Data'!F623,$Q$2:$Q$9,$R$2:$R$9,,1)</f>
        <v>20 - 25</v>
      </c>
      <c r="G623">
        <v>483.6</v>
      </c>
    </row>
    <row r="624" spans="1:7" x14ac:dyDescent="0.25">
      <c r="A624" t="str">
        <f>_xlfn.XLOOKUP('Raw Data'!A624,$M$2:$M$11,$N$2:$N$11,,1)</f>
        <v>28 - 33</v>
      </c>
      <c r="B624" t="str">
        <f>_xlfn.XLOOKUP('Raw Data'!B624,$Q$2:$Q$9,$R$2:$R$9,,1)</f>
        <v>0 - 5</v>
      </c>
      <c r="C624">
        <v>5</v>
      </c>
      <c r="D624" t="str">
        <f>_xlfn.XLOOKUP('Raw Data'!D624,$V$2:$V$5,$W$2:$W$5,,1)</f>
        <v>23 - 27</v>
      </c>
      <c r="E624">
        <v>2021</v>
      </c>
      <c r="F624" t="str">
        <f>_xlfn.XLOOKUP('Raw Data'!F624,$Q$2:$Q$9,$R$2:$R$9,,1)</f>
        <v>0 - 5</v>
      </c>
      <c r="G624">
        <v>501.65</v>
      </c>
    </row>
    <row r="625" spans="1:7" x14ac:dyDescent="0.25">
      <c r="A625" t="str">
        <f>_xlfn.XLOOKUP('Raw Data'!A625,$M$2:$M$11,$N$2:$N$11,,1)</f>
        <v>53 - 58</v>
      </c>
      <c r="B625" t="str">
        <f>_xlfn.XLOOKUP('Raw Data'!B625,$Q$2:$Q$9,$R$2:$R$9,,1)</f>
        <v>15 - 20</v>
      </c>
      <c r="C625">
        <v>2</v>
      </c>
      <c r="D625" t="str">
        <f>_xlfn.XLOOKUP('Raw Data'!D625,$V$2:$V$5,$W$2:$W$5,,1)</f>
        <v>15 - 19</v>
      </c>
      <c r="E625">
        <v>2012</v>
      </c>
      <c r="F625" t="str">
        <f>_xlfn.XLOOKUP('Raw Data'!F625,$Q$2:$Q$9,$R$2:$R$9,,1)</f>
        <v>10 - 15</v>
      </c>
      <c r="G625">
        <v>488.4</v>
      </c>
    </row>
    <row r="626" spans="1:7" x14ac:dyDescent="0.25">
      <c r="A626" t="str">
        <f>_xlfn.XLOOKUP('Raw Data'!A626,$M$2:$M$11,$N$2:$N$11,,1)</f>
        <v>58 - 63</v>
      </c>
      <c r="B626" t="str">
        <f>_xlfn.XLOOKUP('Raw Data'!B626,$Q$2:$Q$9,$R$2:$R$9,,1)</f>
        <v>25 - 30</v>
      </c>
      <c r="C626">
        <v>4</v>
      </c>
      <c r="D626" t="str">
        <f>_xlfn.XLOOKUP('Raw Data'!D626,$V$2:$V$5,$W$2:$W$5,,1)</f>
        <v>19 - 23</v>
      </c>
      <c r="E626">
        <v>2006</v>
      </c>
      <c r="F626" t="str">
        <f>_xlfn.XLOOKUP('Raw Data'!F626,$Q$2:$Q$9,$R$2:$R$9,,1)</f>
        <v>15 - 20</v>
      </c>
      <c r="G626">
        <v>488.55</v>
      </c>
    </row>
    <row r="627" spans="1:7" x14ac:dyDescent="0.25">
      <c r="A627" t="str">
        <f>_xlfn.XLOOKUP('Raw Data'!A627,$M$2:$M$11,$N$2:$N$11,,1)</f>
        <v>23 - 28</v>
      </c>
      <c r="B627" t="str">
        <f>_xlfn.XLOOKUP('Raw Data'!B627,$Q$2:$Q$9,$R$2:$R$9,,1)</f>
        <v>5 - 10</v>
      </c>
      <c r="C627">
        <v>5</v>
      </c>
      <c r="D627" t="str">
        <f>_xlfn.XLOOKUP('Raw Data'!D627,$V$2:$V$5,$W$2:$W$5,,1)</f>
        <v>11 - 15</v>
      </c>
      <c r="E627">
        <v>2010</v>
      </c>
      <c r="F627" t="str">
        <f>_xlfn.XLOOKUP('Raw Data'!F627,$Q$2:$Q$9,$R$2:$R$9,,1)</f>
        <v>10 - 15</v>
      </c>
      <c r="G627">
        <v>502.65</v>
      </c>
    </row>
    <row r="628" spans="1:7" x14ac:dyDescent="0.25">
      <c r="A628" t="str">
        <f>_xlfn.XLOOKUP('Raw Data'!A628,$M$2:$M$11,$N$2:$N$11,,1)</f>
        <v>43 - 48</v>
      </c>
      <c r="B628" t="str">
        <f>_xlfn.XLOOKUP('Raw Data'!B628,$Q$2:$Q$9,$R$2:$R$9,,1)</f>
        <v>5 - 10</v>
      </c>
      <c r="C628">
        <v>3</v>
      </c>
      <c r="D628" t="str">
        <f>_xlfn.XLOOKUP('Raw Data'!D628,$V$2:$V$5,$W$2:$W$5,,1)</f>
        <v>19 - 23</v>
      </c>
      <c r="E628">
        <v>1991</v>
      </c>
      <c r="F628" t="str">
        <f>_xlfn.XLOOKUP('Raw Data'!F628,$Q$2:$Q$9,$R$2:$R$9,,1)</f>
        <v>30 - 35</v>
      </c>
      <c r="G628">
        <v>497.55</v>
      </c>
    </row>
    <row r="629" spans="1:7" x14ac:dyDescent="0.25">
      <c r="A629" t="str">
        <f>_xlfn.XLOOKUP('Raw Data'!A629,$M$2:$M$11,$N$2:$N$11,,1)</f>
        <v>18 - 23</v>
      </c>
      <c r="B629" t="str">
        <f>_xlfn.XLOOKUP('Raw Data'!B629,$Q$2:$Q$9,$R$2:$R$9,,1)</f>
        <v>0 - 5</v>
      </c>
      <c r="C629">
        <v>0</v>
      </c>
      <c r="D629" t="str">
        <f>_xlfn.XLOOKUP('Raw Data'!D629,$V$2:$V$5,$W$2:$W$5,,1)</f>
        <v>23 - 27</v>
      </c>
      <c r="E629">
        <v>1995</v>
      </c>
      <c r="F629" t="str">
        <f>_xlfn.XLOOKUP('Raw Data'!F629,$Q$2:$Q$9,$R$2:$R$9,,1)</f>
        <v>25 - 30</v>
      </c>
      <c r="G629">
        <v>500.15</v>
      </c>
    </row>
    <row r="630" spans="1:7" x14ac:dyDescent="0.25">
      <c r="A630" t="str">
        <f>_xlfn.XLOOKUP('Raw Data'!A630,$M$2:$M$11,$N$2:$N$11,,1)</f>
        <v>18 - 23</v>
      </c>
      <c r="B630" t="str">
        <f>_xlfn.XLOOKUP('Raw Data'!B630,$Q$2:$Q$9,$R$2:$R$9,,1)</f>
        <v>0 - 5</v>
      </c>
      <c r="C630">
        <v>4</v>
      </c>
      <c r="D630" t="str">
        <f>_xlfn.XLOOKUP('Raw Data'!D630,$V$2:$V$5,$W$2:$W$5,,1)</f>
        <v>11 - 15</v>
      </c>
      <c r="E630">
        <v>2007</v>
      </c>
      <c r="F630" t="str">
        <f>_xlfn.XLOOKUP('Raw Data'!F630,$Q$2:$Q$9,$R$2:$R$9,,1)</f>
        <v>15 - 20</v>
      </c>
      <c r="G630">
        <v>502.8</v>
      </c>
    </row>
    <row r="631" spans="1:7" x14ac:dyDescent="0.25">
      <c r="A631" t="str">
        <f>_xlfn.XLOOKUP('Raw Data'!A631,$M$2:$M$11,$N$2:$N$11,,1)</f>
        <v>43 - 48</v>
      </c>
      <c r="B631" t="str">
        <f>_xlfn.XLOOKUP('Raw Data'!B631,$Q$2:$Q$9,$R$2:$R$9,,1)</f>
        <v>25 - 30</v>
      </c>
      <c r="C631">
        <v>1</v>
      </c>
      <c r="D631" t="str">
        <f>_xlfn.XLOOKUP('Raw Data'!D631,$V$2:$V$5,$W$2:$W$5,,1)</f>
        <v>19 - 23</v>
      </c>
      <c r="E631">
        <v>2019</v>
      </c>
      <c r="F631" t="str">
        <f>_xlfn.XLOOKUP('Raw Data'!F631,$Q$2:$Q$9,$R$2:$R$9,,1)</f>
        <v>5 - 10</v>
      </c>
      <c r="G631">
        <v>485.55</v>
      </c>
    </row>
    <row r="632" spans="1:7" x14ac:dyDescent="0.25">
      <c r="A632" t="str">
        <f>_xlfn.XLOOKUP('Raw Data'!A632,$M$2:$M$11,$N$2:$N$11,,1)</f>
        <v>53 - 58</v>
      </c>
      <c r="B632" t="str">
        <f>_xlfn.XLOOKUP('Raw Data'!B632,$Q$2:$Q$9,$R$2:$R$9,,1)</f>
        <v>25 - 30</v>
      </c>
      <c r="C632">
        <v>1</v>
      </c>
      <c r="D632" t="str">
        <f>_xlfn.XLOOKUP('Raw Data'!D632,$V$2:$V$5,$W$2:$W$5,,1)</f>
        <v>11 - 15</v>
      </c>
      <c r="E632">
        <v>2011</v>
      </c>
      <c r="F632" t="str">
        <f>_xlfn.XLOOKUP('Raw Data'!F632,$Q$2:$Q$9,$R$2:$R$9,,1)</f>
        <v>10 - 15</v>
      </c>
      <c r="G632">
        <v>484.7</v>
      </c>
    </row>
    <row r="633" spans="1:7" x14ac:dyDescent="0.25">
      <c r="A633" t="str">
        <f>_xlfn.XLOOKUP('Raw Data'!A633,$M$2:$M$11,$N$2:$N$11,,1)</f>
        <v>53 - 58</v>
      </c>
      <c r="B633" t="str">
        <f>_xlfn.XLOOKUP('Raw Data'!B633,$Q$2:$Q$9,$R$2:$R$9,,1)</f>
        <v>10 - 15</v>
      </c>
      <c r="C633">
        <v>0</v>
      </c>
      <c r="D633" t="str">
        <f>_xlfn.XLOOKUP('Raw Data'!D633,$V$2:$V$5,$W$2:$W$5,,1)</f>
        <v>11 - 15</v>
      </c>
      <c r="E633">
        <v>2022</v>
      </c>
      <c r="F633" t="str">
        <f>_xlfn.XLOOKUP('Raw Data'!F633,$Q$2:$Q$9,$R$2:$R$9,,1)</f>
        <v>0 - 5</v>
      </c>
      <c r="G633">
        <v>485.75</v>
      </c>
    </row>
    <row r="634" spans="1:7" x14ac:dyDescent="0.25">
      <c r="A634" t="str">
        <f>_xlfn.XLOOKUP('Raw Data'!A634,$M$2:$M$11,$N$2:$N$11,,1)</f>
        <v>33 - 38</v>
      </c>
      <c r="B634" t="str">
        <f>_xlfn.XLOOKUP('Raw Data'!B634,$Q$2:$Q$9,$R$2:$R$9,,1)</f>
        <v>15 - 20</v>
      </c>
      <c r="C634">
        <v>3</v>
      </c>
      <c r="D634" t="str">
        <f>_xlfn.XLOOKUP('Raw Data'!D634,$V$2:$V$5,$W$2:$W$5,,1)</f>
        <v>19 - 23</v>
      </c>
      <c r="E634">
        <v>2019</v>
      </c>
      <c r="F634" t="str">
        <f>_xlfn.XLOOKUP('Raw Data'!F634,$Q$2:$Q$9,$R$2:$R$9,,1)</f>
        <v>5 - 10</v>
      </c>
      <c r="G634">
        <v>493.65</v>
      </c>
    </row>
    <row r="635" spans="1:7" x14ac:dyDescent="0.25">
      <c r="A635" t="str">
        <f>_xlfn.XLOOKUP('Raw Data'!A635,$M$2:$M$11,$N$2:$N$11,,1)</f>
        <v>23 - 28</v>
      </c>
      <c r="B635" t="str">
        <f>_xlfn.XLOOKUP('Raw Data'!B635,$Q$2:$Q$9,$R$2:$R$9,,1)</f>
        <v>5 - 10</v>
      </c>
      <c r="C635">
        <v>4</v>
      </c>
      <c r="D635" t="str">
        <f>_xlfn.XLOOKUP('Raw Data'!D635,$V$2:$V$5,$W$2:$W$5,,1)</f>
        <v>11 - 15</v>
      </c>
      <c r="E635">
        <v>2006</v>
      </c>
      <c r="F635" t="str">
        <f>_xlfn.XLOOKUP('Raw Data'!F635,$Q$2:$Q$9,$R$2:$R$9,,1)</f>
        <v>15 - 20</v>
      </c>
      <c r="G635">
        <v>501.35</v>
      </c>
    </row>
    <row r="636" spans="1:7" x14ac:dyDescent="0.25">
      <c r="A636" t="str">
        <f>_xlfn.XLOOKUP('Raw Data'!A636,$M$2:$M$11,$N$2:$N$11,,1)</f>
        <v>63 - 68</v>
      </c>
      <c r="B636" t="str">
        <f>_xlfn.XLOOKUP('Raw Data'!B636,$Q$2:$Q$9,$R$2:$R$9,,1)</f>
        <v>25 - 30</v>
      </c>
      <c r="C636">
        <v>2</v>
      </c>
      <c r="D636" t="str">
        <f>_xlfn.XLOOKUP('Raw Data'!D636,$V$2:$V$5,$W$2:$W$5,,1)</f>
        <v>11 - 15</v>
      </c>
      <c r="E636">
        <v>2021</v>
      </c>
      <c r="F636" t="str">
        <f>_xlfn.XLOOKUP('Raw Data'!F636,$Q$2:$Q$9,$R$2:$R$9,,1)</f>
        <v>0 - 5</v>
      </c>
      <c r="G636">
        <v>482.65</v>
      </c>
    </row>
    <row r="637" spans="1:7" x14ac:dyDescent="0.25">
      <c r="A637" t="str">
        <f>_xlfn.XLOOKUP('Raw Data'!A637,$M$2:$M$11,$N$2:$N$11,,1)</f>
        <v>58 - 63</v>
      </c>
      <c r="B637" t="str">
        <f>_xlfn.XLOOKUP('Raw Data'!B637,$Q$2:$Q$9,$R$2:$R$9,,1)</f>
        <v>20 - 25</v>
      </c>
      <c r="C637">
        <v>0</v>
      </c>
      <c r="D637" t="str">
        <f>_xlfn.XLOOKUP('Raw Data'!D637,$V$2:$V$5,$W$2:$W$5,,1)</f>
        <v>19 - 23</v>
      </c>
      <c r="E637">
        <v>2003</v>
      </c>
      <c r="F637" t="str">
        <f>_xlfn.XLOOKUP('Raw Data'!F637,$Q$2:$Q$9,$R$2:$R$9,,1)</f>
        <v>20 - 25</v>
      </c>
      <c r="G637">
        <v>484.6</v>
      </c>
    </row>
    <row r="638" spans="1:7" x14ac:dyDescent="0.25">
      <c r="A638" t="str">
        <f>_xlfn.XLOOKUP('Raw Data'!A638,$M$2:$M$11,$N$2:$N$11,,1)</f>
        <v>18 - 23</v>
      </c>
      <c r="B638" t="str">
        <f>_xlfn.XLOOKUP('Raw Data'!B638,$Q$2:$Q$9,$R$2:$R$9,,1)</f>
        <v>0 - 5</v>
      </c>
      <c r="C638">
        <v>3</v>
      </c>
      <c r="D638" t="str">
        <f>_xlfn.XLOOKUP('Raw Data'!D638,$V$2:$V$5,$W$2:$W$5,,1)</f>
        <v>11 - 15</v>
      </c>
      <c r="E638">
        <v>1999</v>
      </c>
      <c r="F638" t="str">
        <f>_xlfn.XLOOKUP('Raw Data'!F638,$Q$2:$Q$9,$R$2:$R$9,,1)</f>
        <v>25 - 30</v>
      </c>
      <c r="G638">
        <v>504.1</v>
      </c>
    </row>
    <row r="639" spans="1:7" x14ac:dyDescent="0.25">
      <c r="A639" t="str">
        <f>_xlfn.XLOOKUP('Raw Data'!A639,$M$2:$M$11,$N$2:$N$11,,1)</f>
        <v>38 - 43</v>
      </c>
      <c r="B639" t="str">
        <f>_xlfn.XLOOKUP('Raw Data'!B639,$Q$2:$Q$9,$R$2:$R$9,,1)</f>
        <v>15 - 20</v>
      </c>
      <c r="C639">
        <v>2</v>
      </c>
      <c r="D639" t="str">
        <f>_xlfn.XLOOKUP('Raw Data'!D639,$V$2:$V$5,$W$2:$W$5,,1)</f>
        <v>15 - 19</v>
      </c>
      <c r="E639">
        <v>2025</v>
      </c>
      <c r="F639" t="str">
        <f>_xlfn.XLOOKUP('Raw Data'!F639,$Q$2:$Q$9,$R$2:$R$9,,1)</f>
        <v>0 - 5</v>
      </c>
      <c r="G639">
        <v>490.4</v>
      </c>
    </row>
    <row r="640" spans="1:7" x14ac:dyDescent="0.25">
      <c r="A640" t="str">
        <f>_xlfn.XLOOKUP('Raw Data'!A640,$M$2:$M$11,$N$2:$N$11,,1)</f>
        <v>33 - 38</v>
      </c>
      <c r="B640" t="str">
        <f>_xlfn.XLOOKUP('Raw Data'!B640,$Q$2:$Q$9,$R$2:$R$9,,1)</f>
        <v>15 - 20</v>
      </c>
      <c r="C640">
        <v>1</v>
      </c>
      <c r="D640" t="str">
        <f>_xlfn.XLOOKUP('Raw Data'!D640,$V$2:$V$5,$W$2:$W$5,,1)</f>
        <v>15 - 19</v>
      </c>
      <c r="E640">
        <v>2023</v>
      </c>
      <c r="F640" t="str">
        <f>_xlfn.XLOOKUP('Raw Data'!F640,$Q$2:$Q$9,$R$2:$R$9,,1)</f>
        <v>0 - 5</v>
      </c>
      <c r="G640">
        <v>490.9</v>
      </c>
    </row>
    <row r="641" spans="1:7" x14ac:dyDescent="0.25">
      <c r="A641" t="str">
        <f>_xlfn.XLOOKUP('Raw Data'!A641,$M$2:$M$11,$N$2:$N$11,,1)</f>
        <v>23 - 28</v>
      </c>
      <c r="B641" t="str">
        <f>_xlfn.XLOOKUP('Raw Data'!B641,$Q$2:$Q$9,$R$2:$R$9,,1)</f>
        <v>5 - 10</v>
      </c>
      <c r="C641">
        <v>1</v>
      </c>
      <c r="D641" t="str">
        <f>_xlfn.XLOOKUP('Raw Data'!D641,$V$2:$V$5,$W$2:$W$5,,1)</f>
        <v>15 - 19</v>
      </c>
      <c r="E641">
        <v>1998</v>
      </c>
      <c r="F641" t="str">
        <f>_xlfn.XLOOKUP('Raw Data'!F641,$Q$2:$Q$9,$R$2:$R$9,,1)</f>
        <v>25 - 30</v>
      </c>
      <c r="G641">
        <v>498.55</v>
      </c>
    </row>
    <row r="642" spans="1:7" x14ac:dyDescent="0.25">
      <c r="A642" t="str">
        <f>_xlfn.XLOOKUP('Raw Data'!A642,$M$2:$M$11,$N$2:$N$11,,1)</f>
        <v>38 - 43</v>
      </c>
      <c r="B642" t="str">
        <f>_xlfn.XLOOKUP('Raw Data'!B642,$Q$2:$Q$9,$R$2:$R$9,,1)</f>
        <v>0 - 5</v>
      </c>
      <c r="C642">
        <v>2</v>
      </c>
      <c r="D642" t="str">
        <f>_xlfn.XLOOKUP('Raw Data'!D642,$V$2:$V$5,$W$2:$W$5,,1)</f>
        <v>15 - 19</v>
      </c>
      <c r="E642">
        <v>2017</v>
      </c>
      <c r="F642" t="str">
        <f>_xlfn.XLOOKUP('Raw Data'!F642,$Q$2:$Q$9,$R$2:$R$9,,1)</f>
        <v>5 - 10</v>
      </c>
      <c r="G642">
        <v>495.4</v>
      </c>
    </row>
    <row r="643" spans="1:7" x14ac:dyDescent="0.25">
      <c r="A643" t="str">
        <f>_xlfn.XLOOKUP('Raw Data'!A643,$M$2:$M$11,$N$2:$N$11,,1)</f>
        <v>58 - 63</v>
      </c>
      <c r="B643" t="str">
        <f>_xlfn.XLOOKUP('Raw Data'!B643,$Q$2:$Q$9,$R$2:$R$9,,1)</f>
        <v>25 - 30</v>
      </c>
      <c r="C643">
        <v>0</v>
      </c>
      <c r="D643" t="str">
        <f>_xlfn.XLOOKUP('Raw Data'!D643,$V$2:$V$5,$W$2:$W$5,,1)</f>
        <v>19 - 23</v>
      </c>
      <c r="E643">
        <v>2000</v>
      </c>
      <c r="F643" t="str">
        <f>_xlfn.XLOOKUP('Raw Data'!F643,$Q$2:$Q$9,$R$2:$R$9,,1)</f>
        <v>20 - 25</v>
      </c>
      <c r="G643">
        <v>483.3</v>
      </c>
    </row>
    <row r="644" spans="1:7" x14ac:dyDescent="0.25">
      <c r="A644" t="str">
        <f>_xlfn.XLOOKUP('Raw Data'!A644,$M$2:$M$11,$N$2:$N$11,,1)</f>
        <v>18 - 23</v>
      </c>
      <c r="B644" t="str">
        <f>_xlfn.XLOOKUP('Raw Data'!B644,$Q$2:$Q$9,$R$2:$R$9,,1)</f>
        <v>0 - 5</v>
      </c>
      <c r="C644">
        <v>1</v>
      </c>
      <c r="D644" t="str">
        <f>_xlfn.XLOOKUP('Raw Data'!D644,$V$2:$V$5,$W$2:$W$5,,1)</f>
        <v>11 - 15</v>
      </c>
      <c r="E644">
        <v>2003</v>
      </c>
      <c r="F644" t="str">
        <f>_xlfn.XLOOKUP('Raw Data'!F644,$Q$2:$Q$9,$R$2:$R$9,,1)</f>
        <v>20 - 25</v>
      </c>
      <c r="G644">
        <v>499.25</v>
      </c>
    </row>
    <row r="645" spans="1:7" x14ac:dyDescent="0.25">
      <c r="A645" t="str">
        <f>_xlfn.XLOOKUP('Raw Data'!A645,$M$2:$M$11,$N$2:$N$11,,1)</f>
        <v>48 - 53</v>
      </c>
      <c r="B645" t="str">
        <f>_xlfn.XLOOKUP('Raw Data'!B645,$Q$2:$Q$9,$R$2:$R$9,,1)</f>
        <v>10 - 15</v>
      </c>
      <c r="C645">
        <v>4</v>
      </c>
      <c r="D645" t="str">
        <f>_xlfn.XLOOKUP('Raw Data'!D645,$V$2:$V$5,$W$2:$W$5,,1)</f>
        <v>11 - 15</v>
      </c>
      <c r="E645">
        <v>2008</v>
      </c>
      <c r="F645" t="str">
        <f>_xlfn.XLOOKUP('Raw Data'!F645,$Q$2:$Q$9,$R$2:$R$9,,1)</f>
        <v>15 - 20</v>
      </c>
      <c r="G645">
        <v>494.55</v>
      </c>
    </row>
    <row r="646" spans="1:7" x14ac:dyDescent="0.25">
      <c r="A646" t="str">
        <f>_xlfn.XLOOKUP('Raw Data'!A646,$M$2:$M$11,$N$2:$N$11,,1)</f>
        <v>18 - 23</v>
      </c>
      <c r="B646" t="str">
        <f>_xlfn.XLOOKUP('Raw Data'!B646,$Q$2:$Q$9,$R$2:$R$9,,1)</f>
        <v>0 - 5</v>
      </c>
      <c r="C646">
        <v>5</v>
      </c>
      <c r="D646" t="str">
        <f>_xlfn.XLOOKUP('Raw Data'!D646,$V$2:$V$5,$W$2:$W$5,,1)</f>
        <v>15 - 19</v>
      </c>
      <c r="E646">
        <v>2004</v>
      </c>
      <c r="F646" t="str">
        <f>_xlfn.XLOOKUP('Raw Data'!F646,$Q$2:$Q$9,$R$2:$R$9,,1)</f>
        <v>20 - 25</v>
      </c>
      <c r="G646">
        <v>504.35</v>
      </c>
    </row>
    <row r="647" spans="1:7" x14ac:dyDescent="0.25">
      <c r="A647" t="str">
        <f>_xlfn.XLOOKUP('Raw Data'!A647,$M$2:$M$11,$N$2:$N$11,,1)</f>
        <v>43 - 48</v>
      </c>
      <c r="B647" t="str">
        <f>_xlfn.XLOOKUP('Raw Data'!B647,$Q$2:$Q$9,$R$2:$R$9,,1)</f>
        <v>15 - 20</v>
      </c>
      <c r="C647">
        <v>2</v>
      </c>
      <c r="D647" t="str">
        <f>_xlfn.XLOOKUP('Raw Data'!D647,$V$2:$V$5,$W$2:$W$5,,1)</f>
        <v>11 - 15</v>
      </c>
      <c r="E647">
        <v>2017</v>
      </c>
      <c r="F647" t="str">
        <f>_xlfn.XLOOKUP('Raw Data'!F647,$Q$2:$Q$9,$R$2:$R$9,,1)</f>
        <v>5 - 10</v>
      </c>
      <c r="G647">
        <v>490.15</v>
      </c>
    </row>
    <row r="648" spans="1:7" x14ac:dyDescent="0.25">
      <c r="A648" t="str">
        <f>_xlfn.XLOOKUP('Raw Data'!A648,$M$2:$M$11,$N$2:$N$11,,1)</f>
        <v>33 - 38</v>
      </c>
      <c r="B648" t="str">
        <f>_xlfn.XLOOKUP('Raw Data'!B648,$Q$2:$Q$9,$R$2:$R$9,,1)</f>
        <v>5 - 10</v>
      </c>
      <c r="C648">
        <v>2</v>
      </c>
      <c r="D648" t="str">
        <f>_xlfn.XLOOKUP('Raw Data'!D648,$V$2:$V$5,$W$2:$W$5,,1)</f>
        <v>15 - 19</v>
      </c>
      <c r="E648">
        <v>2013</v>
      </c>
      <c r="F648" t="str">
        <f>_xlfn.XLOOKUP('Raw Data'!F648,$Q$2:$Q$9,$R$2:$R$9,,1)</f>
        <v>10 - 15</v>
      </c>
      <c r="G648">
        <v>495.2</v>
      </c>
    </row>
    <row r="649" spans="1:7" x14ac:dyDescent="0.25">
      <c r="A649" t="str">
        <f>_xlfn.XLOOKUP('Raw Data'!A649,$M$2:$M$11,$N$2:$N$11,,1)</f>
        <v>58 - 63</v>
      </c>
      <c r="B649" t="str">
        <f>_xlfn.XLOOKUP('Raw Data'!B649,$Q$2:$Q$9,$R$2:$R$9,,1)</f>
        <v>0 - 5</v>
      </c>
      <c r="C649">
        <v>1</v>
      </c>
      <c r="D649" t="str">
        <f>_xlfn.XLOOKUP('Raw Data'!D649,$V$2:$V$5,$W$2:$W$5,,1)</f>
        <v>19 - 23</v>
      </c>
      <c r="E649">
        <v>1997</v>
      </c>
      <c r="F649" t="str">
        <f>_xlfn.XLOOKUP('Raw Data'!F649,$Q$2:$Q$9,$R$2:$R$9,,1)</f>
        <v>25 - 30</v>
      </c>
      <c r="G649">
        <v>493.2</v>
      </c>
    </row>
    <row r="650" spans="1:7" x14ac:dyDescent="0.25">
      <c r="A650" t="str">
        <f>_xlfn.XLOOKUP('Raw Data'!A650,$M$2:$M$11,$N$2:$N$11,,1)</f>
        <v>53 - 58</v>
      </c>
      <c r="B650" t="str">
        <f>_xlfn.XLOOKUP('Raw Data'!B650,$Q$2:$Q$9,$R$2:$R$9,,1)</f>
        <v>20 - 25</v>
      </c>
      <c r="C650">
        <v>0</v>
      </c>
      <c r="D650" t="str">
        <f>_xlfn.XLOOKUP('Raw Data'!D650,$V$2:$V$5,$W$2:$W$5,,1)</f>
        <v>11 - 15</v>
      </c>
      <c r="E650">
        <v>1998</v>
      </c>
      <c r="F650" t="str">
        <f>_xlfn.XLOOKUP('Raw Data'!F650,$Q$2:$Q$9,$R$2:$R$9,,1)</f>
        <v>25 - 30</v>
      </c>
      <c r="G650">
        <v>485.95</v>
      </c>
    </row>
    <row r="651" spans="1:7" x14ac:dyDescent="0.25">
      <c r="A651" t="str">
        <f>_xlfn.XLOOKUP('Raw Data'!A651,$M$2:$M$11,$N$2:$N$11,,1)</f>
        <v>43 - 48</v>
      </c>
      <c r="B651" t="str">
        <f>_xlfn.XLOOKUP('Raw Data'!B651,$Q$2:$Q$9,$R$2:$R$9,,1)</f>
        <v>20 - 25</v>
      </c>
      <c r="C651">
        <v>4</v>
      </c>
      <c r="D651" t="str">
        <f>_xlfn.XLOOKUP('Raw Data'!D651,$V$2:$V$5,$W$2:$W$5,,1)</f>
        <v>11 - 15</v>
      </c>
      <c r="E651">
        <v>2022</v>
      </c>
      <c r="F651" t="str">
        <f>_xlfn.XLOOKUP('Raw Data'!F651,$Q$2:$Q$9,$R$2:$R$9,,1)</f>
        <v>0 - 5</v>
      </c>
      <c r="G651">
        <v>490.55</v>
      </c>
    </row>
    <row r="652" spans="1:7" x14ac:dyDescent="0.25">
      <c r="A652" t="str">
        <f>_xlfn.XLOOKUP('Raw Data'!A652,$M$2:$M$11,$N$2:$N$11,,1)</f>
        <v>23 - 28</v>
      </c>
      <c r="B652" t="str">
        <f>_xlfn.XLOOKUP('Raw Data'!B652,$Q$2:$Q$9,$R$2:$R$9,,1)</f>
        <v>5 - 10</v>
      </c>
      <c r="C652">
        <v>0</v>
      </c>
      <c r="D652" t="str">
        <f>_xlfn.XLOOKUP('Raw Data'!D652,$V$2:$V$5,$W$2:$W$5,,1)</f>
        <v>11 - 15</v>
      </c>
      <c r="E652">
        <v>2022</v>
      </c>
      <c r="F652" t="str">
        <f>_xlfn.XLOOKUP('Raw Data'!F652,$Q$2:$Q$9,$R$2:$R$9,,1)</f>
        <v>0 - 5</v>
      </c>
      <c r="G652">
        <v>492.95</v>
      </c>
    </row>
    <row r="653" spans="1:7" x14ac:dyDescent="0.25">
      <c r="A653" t="str">
        <f>_xlfn.XLOOKUP('Raw Data'!A653,$M$2:$M$11,$N$2:$N$11,,1)</f>
        <v>38 - 43</v>
      </c>
      <c r="B653" t="str">
        <f>_xlfn.XLOOKUP('Raw Data'!B653,$Q$2:$Q$9,$R$2:$R$9,,1)</f>
        <v>10 - 15</v>
      </c>
      <c r="C653">
        <v>3</v>
      </c>
      <c r="D653" t="str">
        <f>_xlfn.XLOOKUP('Raw Data'!D653,$V$2:$V$5,$W$2:$W$5,,1)</f>
        <v>11 - 15</v>
      </c>
      <c r="E653">
        <v>2008</v>
      </c>
      <c r="F653" t="str">
        <f>_xlfn.XLOOKUP('Raw Data'!F653,$Q$2:$Q$9,$R$2:$R$9,,1)</f>
        <v>15 - 20</v>
      </c>
      <c r="G653">
        <v>494.4</v>
      </c>
    </row>
    <row r="654" spans="1:7" x14ac:dyDescent="0.25">
      <c r="A654" t="str">
        <f>_xlfn.XLOOKUP('Raw Data'!A654,$M$2:$M$11,$N$2:$N$11,,1)</f>
        <v>33 - 38</v>
      </c>
      <c r="B654" t="str">
        <f>_xlfn.XLOOKUP('Raw Data'!B654,$Q$2:$Q$9,$R$2:$R$9,,1)</f>
        <v>15 - 20</v>
      </c>
      <c r="C654">
        <v>3</v>
      </c>
      <c r="D654" t="str">
        <f>_xlfn.XLOOKUP('Raw Data'!D654,$V$2:$V$5,$W$2:$W$5,,1)</f>
        <v>15 - 19</v>
      </c>
      <c r="E654">
        <v>1992</v>
      </c>
      <c r="F654" t="str">
        <f>_xlfn.XLOOKUP('Raw Data'!F654,$Q$2:$Q$9,$R$2:$R$9,,1)</f>
        <v>30 - 35</v>
      </c>
      <c r="G654">
        <v>496</v>
      </c>
    </row>
    <row r="655" spans="1:7" x14ac:dyDescent="0.25">
      <c r="A655" t="str">
        <f>_xlfn.XLOOKUP('Raw Data'!A655,$M$2:$M$11,$N$2:$N$11,,1)</f>
        <v>53 - 58</v>
      </c>
      <c r="B655" t="str">
        <f>_xlfn.XLOOKUP('Raw Data'!B655,$Q$2:$Q$9,$R$2:$R$9,,1)</f>
        <v>10 - 15</v>
      </c>
      <c r="C655">
        <v>5</v>
      </c>
      <c r="D655" t="str">
        <f>_xlfn.XLOOKUP('Raw Data'!D655,$V$2:$V$5,$W$2:$W$5,,1)</f>
        <v>11 - 15</v>
      </c>
      <c r="E655">
        <v>1999</v>
      </c>
      <c r="F655" t="str">
        <f>_xlfn.XLOOKUP('Raw Data'!F655,$Q$2:$Q$9,$R$2:$R$9,,1)</f>
        <v>25 - 30</v>
      </c>
      <c r="G655">
        <v>496.25</v>
      </c>
    </row>
    <row r="656" spans="1:7" x14ac:dyDescent="0.25">
      <c r="A656" t="str">
        <f>_xlfn.XLOOKUP('Raw Data'!A656,$M$2:$M$11,$N$2:$N$11,,1)</f>
        <v>18 - 23</v>
      </c>
      <c r="B656" t="str">
        <f>_xlfn.XLOOKUP('Raw Data'!B656,$Q$2:$Q$9,$R$2:$R$9,,1)</f>
        <v>0 - 5</v>
      </c>
      <c r="C656">
        <v>1</v>
      </c>
      <c r="D656" t="str">
        <f>_xlfn.XLOOKUP('Raw Data'!D656,$V$2:$V$5,$W$2:$W$5,,1)</f>
        <v>23 - 27</v>
      </c>
      <c r="E656">
        <v>1990</v>
      </c>
      <c r="F656" t="str">
        <f>_xlfn.XLOOKUP('Raw Data'!F656,$Q$2:$Q$9,$R$2:$R$9,,1)</f>
        <v>30 - 35</v>
      </c>
      <c r="G656">
        <v>501.65</v>
      </c>
    </row>
    <row r="657" spans="1:7" x14ac:dyDescent="0.25">
      <c r="A657" t="str">
        <f>_xlfn.XLOOKUP('Raw Data'!A657,$M$2:$M$11,$N$2:$N$11,,1)</f>
        <v>58 - 63</v>
      </c>
      <c r="B657" t="str">
        <f>_xlfn.XLOOKUP('Raw Data'!B657,$Q$2:$Q$9,$R$2:$R$9,,1)</f>
        <v>30 - 35</v>
      </c>
      <c r="C657">
        <v>1</v>
      </c>
      <c r="D657" t="str">
        <f>_xlfn.XLOOKUP('Raw Data'!D657,$V$2:$V$5,$W$2:$W$5,,1)</f>
        <v>19 - 23</v>
      </c>
      <c r="E657">
        <v>2018</v>
      </c>
      <c r="F657" t="str">
        <f>_xlfn.XLOOKUP('Raw Data'!F657,$Q$2:$Q$9,$R$2:$R$9,,1)</f>
        <v>5 - 10</v>
      </c>
      <c r="G657">
        <v>480.65</v>
      </c>
    </row>
    <row r="658" spans="1:7" x14ac:dyDescent="0.25">
      <c r="A658" t="str">
        <f>_xlfn.XLOOKUP('Raw Data'!A658,$M$2:$M$11,$N$2:$N$11,,1)</f>
        <v>28 - 33</v>
      </c>
      <c r="B658" t="str">
        <f>_xlfn.XLOOKUP('Raw Data'!B658,$Q$2:$Q$9,$R$2:$R$9,,1)</f>
        <v>10 - 15</v>
      </c>
      <c r="C658">
        <v>1</v>
      </c>
      <c r="D658" t="str">
        <f>_xlfn.XLOOKUP('Raw Data'!D658,$V$2:$V$5,$W$2:$W$5,,1)</f>
        <v>11 - 15</v>
      </c>
      <c r="E658">
        <v>2023</v>
      </c>
      <c r="F658" t="str">
        <f>_xlfn.XLOOKUP('Raw Data'!F658,$Q$2:$Q$9,$R$2:$R$9,,1)</f>
        <v>0 - 5</v>
      </c>
      <c r="G658">
        <v>493.15</v>
      </c>
    </row>
    <row r="659" spans="1:7" x14ac:dyDescent="0.25">
      <c r="A659" t="str">
        <f>_xlfn.XLOOKUP('Raw Data'!A659,$M$2:$M$11,$N$2:$N$11,,1)</f>
        <v>43 - 48</v>
      </c>
      <c r="B659" t="str">
        <f>_xlfn.XLOOKUP('Raw Data'!B659,$Q$2:$Q$9,$R$2:$R$9,,1)</f>
        <v>5 - 10</v>
      </c>
      <c r="C659">
        <v>5</v>
      </c>
      <c r="D659" t="str">
        <f>_xlfn.XLOOKUP('Raw Data'!D659,$V$2:$V$5,$W$2:$W$5,,1)</f>
        <v>11 - 15</v>
      </c>
      <c r="E659">
        <v>2002</v>
      </c>
      <c r="F659" t="str">
        <f>_xlfn.XLOOKUP('Raw Data'!F659,$Q$2:$Q$9,$R$2:$R$9,,1)</f>
        <v>20 - 25</v>
      </c>
      <c r="G659">
        <v>499.6</v>
      </c>
    </row>
    <row r="660" spans="1:7" x14ac:dyDescent="0.25">
      <c r="A660" t="str">
        <f>_xlfn.XLOOKUP('Raw Data'!A660,$M$2:$M$11,$N$2:$N$11,,1)</f>
        <v>33 - 38</v>
      </c>
      <c r="B660" t="str">
        <f>_xlfn.XLOOKUP('Raw Data'!B660,$Q$2:$Q$9,$R$2:$R$9,,1)</f>
        <v>15 - 20</v>
      </c>
      <c r="C660">
        <v>3</v>
      </c>
      <c r="D660" t="str">
        <f>_xlfn.XLOOKUP('Raw Data'!D660,$V$2:$V$5,$W$2:$W$5,,1)</f>
        <v>19 - 23</v>
      </c>
      <c r="E660">
        <v>1990</v>
      </c>
      <c r="F660" t="str">
        <f>_xlfn.XLOOKUP('Raw Data'!F660,$Q$2:$Q$9,$R$2:$R$9,,1)</f>
        <v>30 - 35</v>
      </c>
      <c r="G660">
        <v>495.95</v>
      </c>
    </row>
    <row r="661" spans="1:7" x14ac:dyDescent="0.25">
      <c r="A661" t="str">
        <f>_xlfn.XLOOKUP('Raw Data'!A661,$M$2:$M$11,$N$2:$N$11,,1)</f>
        <v>43 - 48</v>
      </c>
      <c r="B661" t="str">
        <f>_xlfn.XLOOKUP('Raw Data'!B661,$Q$2:$Q$9,$R$2:$R$9,,1)</f>
        <v>5 - 10</v>
      </c>
      <c r="C661">
        <v>0</v>
      </c>
      <c r="D661" t="str">
        <f>_xlfn.XLOOKUP('Raw Data'!D661,$V$2:$V$5,$W$2:$W$5,,1)</f>
        <v>15 - 19</v>
      </c>
      <c r="E661">
        <v>2023</v>
      </c>
      <c r="F661" t="str">
        <f>_xlfn.XLOOKUP('Raw Data'!F661,$Q$2:$Q$9,$R$2:$R$9,,1)</f>
        <v>0 - 5</v>
      </c>
      <c r="G661">
        <v>489</v>
      </c>
    </row>
    <row r="662" spans="1:7" x14ac:dyDescent="0.25">
      <c r="A662" t="str">
        <f>_xlfn.XLOOKUP('Raw Data'!A662,$M$2:$M$11,$N$2:$N$11,,1)</f>
        <v>23 - 28</v>
      </c>
      <c r="B662" t="str">
        <f>_xlfn.XLOOKUP('Raw Data'!B662,$Q$2:$Q$9,$R$2:$R$9,,1)</f>
        <v>5 - 10</v>
      </c>
      <c r="C662">
        <v>5</v>
      </c>
      <c r="D662" t="str">
        <f>_xlfn.XLOOKUP('Raw Data'!D662,$V$2:$V$5,$W$2:$W$5,,1)</f>
        <v>19 - 23</v>
      </c>
      <c r="E662">
        <v>2018</v>
      </c>
      <c r="F662" t="str">
        <f>_xlfn.XLOOKUP('Raw Data'!F662,$Q$2:$Q$9,$R$2:$R$9,,1)</f>
        <v>5 - 10</v>
      </c>
      <c r="G662">
        <v>502.25</v>
      </c>
    </row>
    <row r="663" spans="1:7" x14ac:dyDescent="0.25">
      <c r="A663" t="str">
        <f>_xlfn.XLOOKUP('Raw Data'!A663,$M$2:$M$11,$N$2:$N$11,,1)</f>
        <v>53 - 58</v>
      </c>
      <c r="B663" t="str">
        <f>_xlfn.XLOOKUP('Raw Data'!B663,$Q$2:$Q$9,$R$2:$R$9,,1)</f>
        <v>0 - 5</v>
      </c>
      <c r="C663">
        <v>5</v>
      </c>
      <c r="D663" t="str">
        <f>_xlfn.XLOOKUP('Raw Data'!D663,$V$2:$V$5,$W$2:$W$5,,1)</f>
        <v>23 - 27</v>
      </c>
      <c r="E663">
        <v>2002</v>
      </c>
      <c r="F663" t="str">
        <f>_xlfn.XLOOKUP('Raw Data'!F663,$Q$2:$Q$9,$R$2:$R$9,,1)</f>
        <v>20 - 25</v>
      </c>
      <c r="G663">
        <v>497.95</v>
      </c>
    </row>
    <row r="664" spans="1:7" x14ac:dyDescent="0.25">
      <c r="A664" t="str">
        <f>_xlfn.XLOOKUP('Raw Data'!A664,$M$2:$M$11,$N$2:$N$11,,1)</f>
        <v>53 - 58</v>
      </c>
      <c r="B664" t="str">
        <f>_xlfn.XLOOKUP('Raw Data'!B664,$Q$2:$Q$9,$R$2:$R$9,,1)</f>
        <v>10 - 15</v>
      </c>
      <c r="C664">
        <v>0</v>
      </c>
      <c r="D664" t="str">
        <f>_xlfn.XLOOKUP('Raw Data'!D664,$V$2:$V$5,$W$2:$W$5,,1)</f>
        <v>19 - 23</v>
      </c>
      <c r="E664">
        <v>2018</v>
      </c>
      <c r="F664" t="str">
        <f>_xlfn.XLOOKUP('Raw Data'!F664,$Q$2:$Q$9,$R$2:$R$9,,1)</f>
        <v>5 - 10</v>
      </c>
      <c r="G664">
        <v>486.4</v>
      </c>
    </row>
    <row r="665" spans="1:7" x14ac:dyDescent="0.25">
      <c r="A665" t="str">
        <f>_xlfn.XLOOKUP('Raw Data'!A665,$M$2:$M$11,$N$2:$N$11,,1)</f>
        <v>18 - 23</v>
      </c>
      <c r="B665" t="str">
        <f>_xlfn.XLOOKUP('Raw Data'!B665,$Q$2:$Q$9,$R$2:$R$9,,1)</f>
        <v>0 - 5</v>
      </c>
      <c r="C665">
        <v>1</v>
      </c>
      <c r="D665" t="str">
        <f>_xlfn.XLOOKUP('Raw Data'!D665,$V$2:$V$5,$W$2:$W$5,,1)</f>
        <v>15 - 19</v>
      </c>
      <c r="E665">
        <v>2013</v>
      </c>
      <c r="F665" t="str">
        <f>_xlfn.XLOOKUP('Raw Data'!F665,$Q$2:$Q$9,$R$2:$R$9,,1)</f>
        <v>10 - 15</v>
      </c>
      <c r="G665">
        <v>499.9</v>
      </c>
    </row>
    <row r="666" spans="1:7" x14ac:dyDescent="0.25">
      <c r="A666" t="str">
        <f>_xlfn.XLOOKUP('Raw Data'!A666,$M$2:$M$11,$N$2:$N$11,,1)</f>
        <v>18 - 23</v>
      </c>
      <c r="B666" t="str">
        <f>_xlfn.XLOOKUP('Raw Data'!B666,$Q$2:$Q$9,$R$2:$R$9,,1)</f>
        <v>0 - 5</v>
      </c>
      <c r="C666">
        <v>4</v>
      </c>
      <c r="D666" t="str">
        <f>_xlfn.XLOOKUP('Raw Data'!D666,$V$2:$V$5,$W$2:$W$5,,1)</f>
        <v>11 - 15</v>
      </c>
      <c r="E666">
        <v>2015</v>
      </c>
      <c r="F666" t="str">
        <f>_xlfn.XLOOKUP('Raw Data'!F666,$Q$2:$Q$9,$R$2:$R$9,,1)</f>
        <v>5 - 10</v>
      </c>
      <c r="G666">
        <v>503.15</v>
      </c>
    </row>
    <row r="667" spans="1:7" x14ac:dyDescent="0.25">
      <c r="A667" t="str">
        <f>_xlfn.XLOOKUP('Raw Data'!A667,$M$2:$M$11,$N$2:$N$11,,1)</f>
        <v>28 - 33</v>
      </c>
      <c r="B667" t="str">
        <f>_xlfn.XLOOKUP('Raw Data'!B667,$Q$2:$Q$9,$R$2:$R$9,,1)</f>
        <v>10 - 15</v>
      </c>
      <c r="C667">
        <v>0</v>
      </c>
      <c r="D667" t="str">
        <f>_xlfn.XLOOKUP('Raw Data'!D667,$V$2:$V$5,$W$2:$W$5,,1)</f>
        <v>15 - 19</v>
      </c>
      <c r="E667">
        <v>2006</v>
      </c>
      <c r="F667" t="str">
        <f>_xlfn.XLOOKUP('Raw Data'!F667,$Q$2:$Q$9,$R$2:$R$9,,1)</f>
        <v>15 - 20</v>
      </c>
      <c r="G667">
        <v>493.1</v>
      </c>
    </row>
    <row r="668" spans="1:7" x14ac:dyDescent="0.25">
      <c r="A668" t="str">
        <f>_xlfn.XLOOKUP('Raw Data'!A668,$M$2:$M$11,$N$2:$N$11,,1)</f>
        <v>43 - 48</v>
      </c>
      <c r="B668" t="str">
        <f>_xlfn.XLOOKUP('Raw Data'!B668,$Q$2:$Q$9,$R$2:$R$9,,1)</f>
        <v>20 - 25</v>
      </c>
      <c r="C668">
        <v>3</v>
      </c>
      <c r="D668" t="str">
        <f>_xlfn.XLOOKUP('Raw Data'!D668,$V$2:$V$5,$W$2:$W$5,,1)</f>
        <v>19 - 23</v>
      </c>
      <c r="E668">
        <v>1996</v>
      </c>
      <c r="F668" t="str">
        <f>_xlfn.XLOOKUP('Raw Data'!F668,$Q$2:$Q$9,$R$2:$R$9,,1)</f>
        <v>25 - 30</v>
      </c>
      <c r="G668">
        <v>491.95</v>
      </c>
    </row>
    <row r="669" spans="1:7" x14ac:dyDescent="0.25">
      <c r="A669" t="str">
        <f>_xlfn.XLOOKUP('Raw Data'!A669,$M$2:$M$11,$N$2:$N$11,,1)</f>
        <v>38 - 43</v>
      </c>
      <c r="B669" t="str">
        <f>_xlfn.XLOOKUP('Raw Data'!B669,$Q$2:$Q$9,$R$2:$R$9,,1)</f>
        <v>20 - 25</v>
      </c>
      <c r="C669">
        <v>2</v>
      </c>
      <c r="D669" t="str">
        <f>_xlfn.XLOOKUP('Raw Data'!D669,$V$2:$V$5,$W$2:$W$5,,1)</f>
        <v>15 - 19</v>
      </c>
      <c r="E669">
        <v>2002</v>
      </c>
      <c r="F669" t="str">
        <f>_xlfn.XLOOKUP('Raw Data'!F669,$Q$2:$Q$9,$R$2:$R$9,,1)</f>
        <v>20 - 25</v>
      </c>
      <c r="G669">
        <v>490.55</v>
      </c>
    </row>
    <row r="670" spans="1:7" x14ac:dyDescent="0.25">
      <c r="A670" t="str">
        <f>_xlfn.XLOOKUP('Raw Data'!A670,$M$2:$M$11,$N$2:$N$11,,1)</f>
        <v>48 - 53</v>
      </c>
      <c r="B670" t="str">
        <f>_xlfn.XLOOKUP('Raw Data'!B670,$Q$2:$Q$9,$R$2:$R$9,,1)</f>
        <v>30 - 35</v>
      </c>
      <c r="C670">
        <v>2</v>
      </c>
      <c r="D670" t="str">
        <f>_xlfn.XLOOKUP('Raw Data'!D670,$V$2:$V$5,$W$2:$W$5,,1)</f>
        <v>19 - 23</v>
      </c>
      <c r="E670">
        <v>1994</v>
      </c>
      <c r="F670" t="str">
        <f>_xlfn.XLOOKUP('Raw Data'!F670,$Q$2:$Q$9,$R$2:$R$9,,1)</f>
        <v>30 - 35</v>
      </c>
      <c r="G670">
        <v>487.6</v>
      </c>
    </row>
    <row r="671" spans="1:7" x14ac:dyDescent="0.25">
      <c r="A671" t="str">
        <f>_xlfn.XLOOKUP('Raw Data'!A671,$M$2:$M$11,$N$2:$N$11,,1)</f>
        <v>53 - 58</v>
      </c>
      <c r="B671" t="str">
        <f>_xlfn.XLOOKUP('Raw Data'!B671,$Q$2:$Q$9,$R$2:$R$9,,1)</f>
        <v>25 - 30</v>
      </c>
      <c r="C671">
        <v>5</v>
      </c>
      <c r="D671" t="str">
        <f>_xlfn.XLOOKUP('Raw Data'!D671,$V$2:$V$5,$W$2:$W$5,,1)</f>
        <v>11 - 15</v>
      </c>
      <c r="E671">
        <v>2015</v>
      </c>
      <c r="F671" t="str">
        <f>_xlfn.XLOOKUP('Raw Data'!F671,$Q$2:$Q$9,$R$2:$R$9,,1)</f>
        <v>5 - 10</v>
      </c>
      <c r="G671">
        <v>489.85</v>
      </c>
    </row>
    <row r="672" spans="1:7" x14ac:dyDescent="0.25">
      <c r="A672" t="str">
        <f>_xlfn.XLOOKUP('Raw Data'!A672,$M$2:$M$11,$N$2:$N$11,,1)</f>
        <v>18 - 23</v>
      </c>
      <c r="B672" t="str">
        <f>_xlfn.XLOOKUP('Raw Data'!B672,$Q$2:$Q$9,$R$2:$R$9,,1)</f>
        <v>0 - 5</v>
      </c>
      <c r="C672">
        <v>2</v>
      </c>
      <c r="D672" t="str">
        <f>_xlfn.XLOOKUP('Raw Data'!D672,$V$2:$V$5,$W$2:$W$5,,1)</f>
        <v>11 - 15</v>
      </c>
      <c r="E672">
        <v>1992</v>
      </c>
      <c r="F672" t="str">
        <f>_xlfn.XLOOKUP('Raw Data'!F672,$Q$2:$Q$9,$R$2:$R$9,,1)</f>
        <v>30 - 35</v>
      </c>
      <c r="G672">
        <v>501.35</v>
      </c>
    </row>
    <row r="673" spans="1:7" x14ac:dyDescent="0.25">
      <c r="A673" t="str">
        <f>_xlfn.XLOOKUP('Raw Data'!A673,$M$2:$M$11,$N$2:$N$11,,1)</f>
        <v>58 - 63</v>
      </c>
      <c r="B673" t="str">
        <f>_xlfn.XLOOKUP('Raw Data'!B673,$Q$2:$Q$9,$R$2:$R$9,,1)</f>
        <v>15 - 20</v>
      </c>
      <c r="C673">
        <v>4</v>
      </c>
      <c r="D673" t="str">
        <f>_xlfn.XLOOKUP('Raw Data'!D673,$V$2:$V$5,$W$2:$W$5,,1)</f>
        <v>15 - 19</v>
      </c>
      <c r="E673">
        <v>1996</v>
      </c>
      <c r="F673" t="str">
        <f>_xlfn.XLOOKUP('Raw Data'!F673,$Q$2:$Q$9,$R$2:$R$9,,1)</f>
        <v>25 - 30</v>
      </c>
      <c r="G673">
        <v>492.8</v>
      </c>
    </row>
    <row r="674" spans="1:7" x14ac:dyDescent="0.25">
      <c r="A674" t="str">
        <f>_xlfn.XLOOKUP('Raw Data'!A674,$M$2:$M$11,$N$2:$N$11,,1)</f>
        <v>58 - 63</v>
      </c>
      <c r="B674" t="str">
        <f>_xlfn.XLOOKUP('Raw Data'!B674,$Q$2:$Q$9,$R$2:$R$9,,1)</f>
        <v>30 - 35</v>
      </c>
      <c r="C674">
        <v>1</v>
      </c>
      <c r="D674" t="str">
        <f>_xlfn.XLOOKUP('Raw Data'!D674,$V$2:$V$5,$W$2:$W$5,,1)</f>
        <v>11 - 15</v>
      </c>
      <c r="E674">
        <v>1990</v>
      </c>
      <c r="F674" t="str">
        <f>_xlfn.XLOOKUP('Raw Data'!F674,$Q$2:$Q$9,$R$2:$R$9,,1)</f>
        <v>30 - 35</v>
      </c>
      <c r="G674">
        <v>483.1</v>
      </c>
    </row>
    <row r="675" spans="1:7" x14ac:dyDescent="0.25">
      <c r="A675" t="str">
        <f>_xlfn.XLOOKUP('Raw Data'!A675,$M$2:$M$11,$N$2:$N$11,,1)</f>
        <v>48 - 53</v>
      </c>
      <c r="B675" t="str">
        <f>_xlfn.XLOOKUP('Raw Data'!B675,$Q$2:$Q$9,$R$2:$R$9,,1)</f>
        <v>10 - 15</v>
      </c>
      <c r="C675">
        <v>3</v>
      </c>
      <c r="D675" t="str">
        <f>_xlfn.XLOOKUP('Raw Data'!D675,$V$2:$V$5,$W$2:$W$5,,1)</f>
        <v>15 - 19</v>
      </c>
      <c r="E675">
        <v>2006</v>
      </c>
      <c r="F675" t="str">
        <f>_xlfn.XLOOKUP('Raw Data'!F675,$Q$2:$Q$9,$R$2:$R$9,,1)</f>
        <v>15 - 20</v>
      </c>
      <c r="G675">
        <v>493.95</v>
      </c>
    </row>
    <row r="676" spans="1:7" x14ac:dyDescent="0.25">
      <c r="A676" t="str">
        <f>_xlfn.XLOOKUP('Raw Data'!A676,$M$2:$M$11,$N$2:$N$11,,1)</f>
        <v>58 - 63</v>
      </c>
      <c r="B676" t="str">
        <f>_xlfn.XLOOKUP('Raw Data'!B676,$Q$2:$Q$9,$R$2:$R$9,,1)</f>
        <v>35 - 40</v>
      </c>
      <c r="C676">
        <v>4</v>
      </c>
      <c r="D676" t="str">
        <f>_xlfn.XLOOKUP('Raw Data'!D676,$V$2:$V$5,$W$2:$W$5,,1)</f>
        <v>23 - 27</v>
      </c>
      <c r="E676">
        <v>2014</v>
      </c>
      <c r="F676" t="str">
        <f>_xlfn.XLOOKUP('Raw Data'!F676,$Q$2:$Q$9,$R$2:$R$9,,1)</f>
        <v>10 - 15</v>
      </c>
      <c r="G676">
        <v>483.9</v>
      </c>
    </row>
    <row r="677" spans="1:7" x14ac:dyDescent="0.25">
      <c r="A677" t="str">
        <f>_xlfn.XLOOKUP('Raw Data'!A677,$M$2:$M$11,$N$2:$N$11,,1)</f>
        <v>63 - 68</v>
      </c>
      <c r="B677" t="str">
        <f>_xlfn.XLOOKUP('Raw Data'!B677,$Q$2:$Q$9,$R$2:$R$9,,1)</f>
        <v>35 - 40</v>
      </c>
      <c r="C677">
        <v>3</v>
      </c>
      <c r="D677" t="str">
        <f>_xlfn.XLOOKUP('Raw Data'!D677,$V$2:$V$5,$W$2:$W$5,,1)</f>
        <v>19 - 23</v>
      </c>
      <c r="E677">
        <v>1992</v>
      </c>
      <c r="F677" t="str">
        <f>_xlfn.XLOOKUP('Raw Data'!F677,$Q$2:$Q$9,$R$2:$R$9,,1)</f>
        <v>30 - 35</v>
      </c>
      <c r="G677">
        <v>484.6</v>
      </c>
    </row>
    <row r="678" spans="1:7" x14ac:dyDescent="0.25">
      <c r="A678" t="str">
        <f>_xlfn.XLOOKUP('Raw Data'!A678,$M$2:$M$11,$N$2:$N$11,,1)</f>
        <v>33 - 38</v>
      </c>
      <c r="B678" t="str">
        <f>_xlfn.XLOOKUP('Raw Data'!B678,$Q$2:$Q$9,$R$2:$R$9,,1)</f>
        <v>10 - 15</v>
      </c>
      <c r="C678">
        <v>3</v>
      </c>
      <c r="D678" t="str">
        <f>_xlfn.XLOOKUP('Raw Data'!D678,$V$2:$V$5,$W$2:$W$5,,1)</f>
        <v>19 - 23</v>
      </c>
      <c r="E678">
        <v>2004</v>
      </c>
      <c r="F678" t="str">
        <f>_xlfn.XLOOKUP('Raw Data'!F678,$Q$2:$Q$9,$R$2:$R$9,,1)</f>
        <v>20 - 25</v>
      </c>
      <c r="G678">
        <v>495.9</v>
      </c>
    </row>
    <row r="679" spans="1:7" x14ac:dyDescent="0.25">
      <c r="A679" t="str">
        <f>_xlfn.XLOOKUP('Raw Data'!A679,$M$2:$M$11,$N$2:$N$11,,1)</f>
        <v>28 - 33</v>
      </c>
      <c r="B679" t="str">
        <f>_xlfn.XLOOKUP('Raw Data'!B679,$Q$2:$Q$9,$R$2:$R$9,,1)</f>
        <v>10 - 15</v>
      </c>
      <c r="C679">
        <v>1</v>
      </c>
      <c r="D679" t="str">
        <f>_xlfn.XLOOKUP('Raw Data'!D679,$V$2:$V$5,$W$2:$W$5,,1)</f>
        <v>15 - 19</v>
      </c>
      <c r="E679">
        <v>2018</v>
      </c>
      <c r="F679" t="str">
        <f>_xlfn.XLOOKUP('Raw Data'!F679,$Q$2:$Q$9,$R$2:$R$9,,1)</f>
        <v>5 - 10</v>
      </c>
      <c r="G679">
        <v>491.9</v>
      </c>
    </row>
    <row r="680" spans="1:7" x14ac:dyDescent="0.25">
      <c r="A680" t="str">
        <f>_xlfn.XLOOKUP('Raw Data'!A680,$M$2:$M$11,$N$2:$N$11,,1)</f>
        <v>33 - 38</v>
      </c>
      <c r="B680" t="str">
        <f>_xlfn.XLOOKUP('Raw Data'!B680,$Q$2:$Q$9,$R$2:$R$9,,1)</f>
        <v>15 - 20</v>
      </c>
      <c r="C680">
        <v>5</v>
      </c>
      <c r="D680" t="str">
        <f>_xlfn.XLOOKUP('Raw Data'!D680,$V$2:$V$5,$W$2:$W$5,,1)</f>
        <v>11 - 15</v>
      </c>
      <c r="E680">
        <v>2021</v>
      </c>
      <c r="F680" t="str">
        <f>_xlfn.XLOOKUP('Raw Data'!F680,$Q$2:$Q$9,$R$2:$R$9,,1)</f>
        <v>0 - 5</v>
      </c>
      <c r="G680">
        <v>494.85</v>
      </c>
    </row>
    <row r="681" spans="1:7" x14ac:dyDescent="0.25">
      <c r="A681" t="str">
        <f>_xlfn.XLOOKUP('Raw Data'!A681,$M$2:$M$11,$N$2:$N$11,,1)</f>
        <v>23 - 28</v>
      </c>
      <c r="B681" t="str">
        <f>_xlfn.XLOOKUP('Raw Data'!B681,$Q$2:$Q$9,$R$2:$R$9,,1)</f>
        <v>5 - 10</v>
      </c>
      <c r="C681">
        <v>2</v>
      </c>
      <c r="D681" t="str">
        <f>_xlfn.XLOOKUP('Raw Data'!D681,$V$2:$V$5,$W$2:$W$5,,1)</f>
        <v>11 - 15</v>
      </c>
      <c r="E681">
        <v>2015</v>
      </c>
      <c r="F681" t="str">
        <f>_xlfn.XLOOKUP('Raw Data'!F681,$Q$2:$Q$9,$R$2:$R$9,,1)</f>
        <v>5 - 10</v>
      </c>
      <c r="G681">
        <v>496.05</v>
      </c>
    </row>
    <row r="682" spans="1:7" x14ac:dyDescent="0.25">
      <c r="A682" t="str">
        <f>_xlfn.XLOOKUP('Raw Data'!A682,$M$2:$M$11,$N$2:$N$11,,1)</f>
        <v>53 - 58</v>
      </c>
      <c r="B682" t="str">
        <f>_xlfn.XLOOKUP('Raw Data'!B682,$Q$2:$Q$9,$R$2:$R$9,,1)</f>
        <v>30 - 35</v>
      </c>
      <c r="C682">
        <v>1</v>
      </c>
      <c r="D682" t="str">
        <f>_xlfn.XLOOKUP('Raw Data'!D682,$V$2:$V$5,$W$2:$W$5,,1)</f>
        <v>11 - 15</v>
      </c>
      <c r="E682">
        <v>2005</v>
      </c>
      <c r="F682" t="str">
        <f>_xlfn.XLOOKUP('Raw Data'!F682,$Q$2:$Q$9,$R$2:$R$9,,1)</f>
        <v>15 - 20</v>
      </c>
      <c r="G682">
        <v>484.05</v>
      </c>
    </row>
    <row r="683" spans="1:7" x14ac:dyDescent="0.25">
      <c r="A683" t="str">
        <f>_xlfn.XLOOKUP('Raw Data'!A683,$M$2:$M$11,$N$2:$N$11,,1)</f>
        <v>48 - 53</v>
      </c>
      <c r="B683" t="str">
        <f>_xlfn.XLOOKUP('Raw Data'!B683,$Q$2:$Q$9,$R$2:$R$9,,1)</f>
        <v>0 - 5</v>
      </c>
      <c r="C683">
        <v>4</v>
      </c>
      <c r="D683" t="str">
        <f>_xlfn.XLOOKUP('Raw Data'!D683,$V$2:$V$5,$W$2:$W$5,,1)</f>
        <v>19 - 23</v>
      </c>
      <c r="E683">
        <v>2014</v>
      </c>
      <c r="F683" t="str">
        <f>_xlfn.XLOOKUP('Raw Data'!F683,$Q$2:$Q$9,$R$2:$R$9,,1)</f>
        <v>10 - 15</v>
      </c>
      <c r="G683">
        <v>497.2</v>
      </c>
    </row>
    <row r="684" spans="1:7" x14ac:dyDescent="0.25">
      <c r="A684" t="str">
        <f>_xlfn.XLOOKUP('Raw Data'!A684,$M$2:$M$11,$N$2:$N$11,,1)</f>
        <v>48 - 53</v>
      </c>
      <c r="B684" t="str">
        <f>_xlfn.XLOOKUP('Raw Data'!B684,$Q$2:$Q$9,$R$2:$R$9,,1)</f>
        <v>10 - 15</v>
      </c>
      <c r="C684">
        <v>5</v>
      </c>
      <c r="D684" t="str">
        <f>_xlfn.XLOOKUP('Raw Data'!D684,$V$2:$V$5,$W$2:$W$5,,1)</f>
        <v>19 - 23</v>
      </c>
      <c r="E684">
        <v>2017</v>
      </c>
      <c r="F684" t="str">
        <f>_xlfn.XLOOKUP('Raw Data'!F684,$Q$2:$Q$9,$R$2:$R$9,,1)</f>
        <v>5 - 10</v>
      </c>
      <c r="G684">
        <v>495.1</v>
      </c>
    </row>
    <row r="685" spans="1:7" x14ac:dyDescent="0.25">
      <c r="A685" t="str">
        <f>_xlfn.XLOOKUP('Raw Data'!A685,$M$2:$M$11,$N$2:$N$11,,1)</f>
        <v>33 - 38</v>
      </c>
      <c r="B685" t="str">
        <f>_xlfn.XLOOKUP('Raw Data'!B685,$Q$2:$Q$9,$R$2:$R$9,,1)</f>
        <v>15 - 20</v>
      </c>
      <c r="C685">
        <v>4</v>
      </c>
      <c r="D685" t="str">
        <f>_xlfn.XLOOKUP('Raw Data'!D685,$V$2:$V$5,$W$2:$W$5,,1)</f>
        <v>19 - 23</v>
      </c>
      <c r="E685">
        <v>1998</v>
      </c>
      <c r="F685" t="str">
        <f>_xlfn.XLOOKUP('Raw Data'!F685,$Q$2:$Q$9,$R$2:$R$9,,1)</f>
        <v>25 - 30</v>
      </c>
      <c r="G685">
        <v>497.2</v>
      </c>
    </row>
    <row r="686" spans="1:7" x14ac:dyDescent="0.25">
      <c r="A686" t="str">
        <f>_xlfn.XLOOKUP('Raw Data'!A686,$M$2:$M$11,$N$2:$N$11,,1)</f>
        <v>33 - 38</v>
      </c>
      <c r="B686" t="str">
        <f>_xlfn.XLOOKUP('Raw Data'!B686,$Q$2:$Q$9,$R$2:$R$9,,1)</f>
        <v>15 - 20</v>
      </c>
      <c r="C686">
        <v>5</v>
      </c>
      <c r="D686" t="str">
        <f>_xlfn.XLOOKUP('Raw Data'!D686,$V$2:$V$5,$W$2:$W$5,,1)</f>
        <v>11 - 15</v>
      </c>
      <c r="E686">
        <v>1990</v>
      </c>
      <c r="F686" t="str">
        <f>_xlfn.XLOOKUP('Raw Data'!F686,$Q$2:$Q$9,$R$2:$R$9,,1)</f>
        <v>30 - 35</v>
      </c>
      <c r="G686">
        <v>498.6</v>
      </c>
    </row>
    <row r="687" spans="1:7" x14ac:dyDescent="0.25">
      <c r="A687" t="str">
        <f>_xlfn.XLOOKUP('Raw Data'!A687,$M$2:$M$11,$N$2:$N$11,,1)</f>
        <v>33 - 38</v>
      </c>
      <c r="B687" t="str">
        <f>_xlfn.XLOOKUP('Raw Data'!B687,$Q$2:$Q$9,$R$2:$R$9,,1)</f>
        <v>5 - 10</v>
      </c>
      <c r="C687">
        <v>4</v>
      </c>
      <c r="D687" t="str">
        <f>_xlfn.XLOOKUP('Raw Data'!D687,$V$2:$V$5,$W$2:$W$5,,1)</f>
        <v>15 - 19</v>
      </c>
      <c r="E687">
        <v>2018</v>
      </c>
      <c r="F687" t="str">
        <f>_xlfn.XLOOKUP('Raw Data'!F687,$Q$2:$Q$9,$R$2:$R$9,,1)</f>
        <v>5 - 10</v>
      </c>
      <c r="G687">
        <v>497.5</v>
      </c>
    </row>
    <row r="688" spans="1:7" x14ac:dyDescent="0.25">
      <c r="A688" t="str">
        <f>_xlfn.XLOOKUP('Raw Data'!A688,$M$2:$M$11,$N$2:$N$11,,1)</f>
        <v>63 - 68</v>
      </c>
      <c r="B688" t="str">
        <f>_xlfn.XLOOKUP('Raw Data'!B688,$Q$2:$Q$9,$R$2:$R$9,,1)</f>
        <v>25 - 30</v>
      </c>
      <c r="C688">
        <v>1</v>
      </c>
      <c r="D688" t="str">
        <f>_xlfn.XLOOKUP('Raw Data'!D688,$V$2:$V$5,$W$2:$W$5,,1)</f>
        <v>23 - 27</v>
      </c>
      <c r="E688">
        <v>2011</v>
      </c>
      <c r="F688" t="str">
        <f>_xlfn.XLOOKUP('Raw Data'!F688,$Q$2:$Q$9,$R$2:$R$9,,1)</f>
        <v>10 - 15</v>
      </c>
      <c r="G688">
        <v>483.55</v>
      </c>
    </row>
    <row r="689" spans="1:7" x14ac:dyDescent="0.25">
      <c r="A689" t="str">
        <f>_xlfn.XLOOKUP('Raw Data'!A689,$M$2:$M$11,$N$2:$N$11,,1)</f>
        <v>53 - 58</v>
      </c>
      <c r="B689" t="str">
        <f>_xlfn.XLOOKUP('Raw Data'!B689,$Q$2:$Q$9,$R$2:$R$9,,1)</f>
        <v>0 - 5</v>
      </c>
      <c r="C689">
        <v>5</v>
      </c>
      <c r="D689" t="str">
        <f>_xlfn.XLOOKUP('Raw Data'!D689,$V$2:$V$5,$W$2:$W$5,,1)</f>
        <v>15 - 19</v>
      </c>
      <c r="E689">
        <v>2005</v>
      </c>
      <c r="F689" t="str">
        <f>_xlfn.XLOOKUP('Raw Data'!F689,$Q$2:$Q$9,$R$2:$R$9,,1)</f>
        <v>15 - 20</v>
      </c>
      <c r="G689">
        <v>498.15</v>
      </c>
    </row>
    <row r="690" spans="1:7" x14ac:dyDescent="0.25">
      <c r="A690" t="str">
        <f>_xlfn.XLOOKUP('Raw Data'!A690,$M$2:$M$11,$N$2:$N$11,,1)</f>
        <v>28 - 33</v>
      </c>
      <c r="B690" t="str">
        <f>_xlfn.XLOOKUP('Raw Data'!B690,$Q$2:$Q$9,$R$2:$R$9,,1)</f>
        <v>10 - 15</v>
      </c>
      <c r="C690">
        <v>5</v>
      </c>
      <c r="D690" t="str">
        <f>_xlfn.XLOOKUP('Raw Data'!D690,$V$2:$V$5,$W$2:$W$5,,1)</f>
        <v>19 - 23</v>
      </c>
      <c r="E690">
        <v>1996</v>
      </c>
      <c r="F690" t="str">
        <f>_xlfn.XLOOKUP('Raw Data'!F690,$Q$2:$Q$9,$R$2:$R$9,,1)</f>
        <v>25 - 30</v>
      </c>
      <c r="G690">
        <v>501.3</v>
      </c>
    </row>
    <row r="691" spans="1:7" x14ac:dyDescent="0.25">
      <c r="A691" t="str">
        <f>_xlfn.XLOOKUP('Raw Data'!A691,$M$2:$M$11,$N$2:$N$11,,1)</f>
        <v>28 - 33</v>
      </c>
      <c r="B691" t="str">
        <f>_xlfn.XLOOKUP('Raw Data'!B691,$Q$2:$Q$9,$R$2:$R$9,,1)</f>
        <v>10 - 15</v>
      </c>
      <c r="C691">
        <v>3</v>
      </c>
      <c r="D691" t="str">
        <f>_xlfn.XLOOKUP('Raw Data'!D691,$V$2:$V$5,$W$2:$W$5,,1)</f>
        <v>11 - 15</v>
      </c>
      <c r="E691">
        <v>2003</v>
      </c>
      <c r="F691" t="str">
        <f>_xlfn.XLOOKUP('Raw Data'!F691,$Q$2:$Q$9,$R$2:$R$9,,1)</f>
        <v>20 - 25</v>
      </c>
      <c r="G691">
        <v>496.8</v>
      </c>
    </row>
    <row r="692" spans="1:7" x14ac:dyDescent="0.25">
      <c r="A692" t="str">
        <f>_xlfn.XLOOKUP('Raw Data'!A692,$M$2:$M$11,$N$2:$N$11,,1)</f>
        <v>43 - 48</v>
      </c>
      <c r="B692" t="str">
        <f>_xlfn.XLOOKUP('Raw Data'!B692,$Q$2:$Q$9,$R$2:$R$9,,1)</f>
        <v>25 - 30</v>
      </c>
      <c r="C692">
        <v>3</v>
      </c>
      <c r="D692" t="str">
        <f>_xlfn.XLOOKUP('Raw Data'!D692,$V$2:$V$5,$W$2:$W$5,,1)</f>
        <v>15 - 19</v>
      </c>
      <c r="E692">
        <v>2018</v>
      </c>
      <c r="F692" t="str">
        <f>_xlfn.XLOOKUP('Raw Data'!F692,$Q$2:$Q$9,$R$2:$R$9,,1)</f>
        <v>5 - 10</v>
      </c>
      <c r="G692">
        <v>488</v>
      </c>
    </row>
    <row r="693" spans="1:7" x14ac:dyDescent="0.25">
      <c r="A693" t="str">
        <f>_xlfn.XLOOKUP('Raw Data'!A693,$M$2:$M$11,$N$2:$N$11,,1)</f>
        <v>18 - 23</v>
      </c>
      <c r="B693" t="str">
        <f>_xlfn.XLOOKUP('Raw Data'!B693,$Q$2:$Q$9,$R$2:$R$9,,1)</f>
        <v>0 - 5</v>
      </c>
      <c r="C693">
        <v>0</v>
      </c>
      <c r="D693" t="str">
        <f>_xlfn.XLOOKUP('Raw Data'!D693,$V$2:$V$5,$W$2:$W$5,,1)</f>
        <v>19 - 23</v>
      </c>
      <c r="E693">
        <v>2008</v>
      </c>
      <c r="F693" t="str">
        <f>_xlfn.XLOOKUP('Raw Data'!F693,$Q$2:$Q$9,$R$2:$R$9,,1)</f>
        <v>15 - 20</v>
      </c>
      <c r="G693">
        <v>499.15</v>
      </c>
    </row>
    <row r="694" spans="1:7" x14ac:dyDescent="0.25">
      <c r="A694" t="str">
        <f>_xlfn.XLOOKUP('Raw Data'!A694,$M$2:$M$11,$N$2:$N$11,,1)</f>
        <v>18 - 23</v>
      </c>
      <c r="B694" t="str">
        <f>_xlfn.XLOOKUP('Raw Data'!B694,$Q$2:$Q$9,$R$2:$R$9,,1)</f>
        <v>0 - 5</v>
      </c>
      <c r="C694">
        <v>4</v>
      </c>
      <c r="D694" t="str">
        <f>_xlfn.XLOOKUP('Raw Data'!D694,$V$2:$V$5,$W$2:$W$5,,1)</f>
        <v>11 - 15</v>
      </c>
      <c r="E694">
        <v>2008</v>
      </c>
      <c r="F694" t="str">
        <f>_xlfn.XLOOKUP('Raw Data'!F694,$Q$2:$Q$9,$R$2:$R$9,,1)</f>
        <v>15 - 20</v>
      </c>
      <c r="G694">
        <v>503.65</v>
      </c>
    </row>
    <row r="695" spans="1:7" x14ac:dyDescent="0.25">
      <c r="A695" t="str">
        <f>_xlfn.XLOOKUP('Raw Data'!A695,$M$2:$M$11,$N$2:$N$11,,1)</f>
        <v>28 - 33</v>
      </c>
      <c r="B695" t="str">
        <f>_xlfn.XLOOKUP('Raw Data'!B695,$Q$2:$Q$9,$R$2:$R$9,,1)</f>
        <v>10 - 15</v>
      </c>
      <c r="C695">
        <v>3</v>
      </c>
      <c r="D695" t="str">
        <f>_xlfn.XLOOKUP('Raw Data'!D695,$V$2:$V$5,$W$2:$W$5,,1)</f>
        <v>23 - 27</v>
      </c>
      <c r="E695">
        <v>1991</v>
      </c>
      <c r="F695" t="str">
        <f>_xlfn.XLOOKUP('Raw Data'!F695,$Q$2:$Q$9,$R$2:$R$9,,1)</f>
        <v>30 - 35</v>
      </c>
      <c r="G695">
        <v>498</v>
      </c>
    </row>
    <row r="696" spans="1:7" x14ac:dyDescent="0.25">
      <c r="A696" t="str">
        <f>_xlfn.XLOOKUP('Raw Data'!A696,$M$2:$M$11,$N$2:$N$11,,1)</f>
        <v>38 - 43</v>
      </c>
      <c r="B696" t="str">
        <f>_xlfn.XLOOKUP('Raw Data'!B696,$Q$2:$Q$9,$R$2:$R$9,,1)</f>
        <v>15 - 20</v>
      </c>
      <c r="C696">
        <v>0</v>
      </c>
      <c r="D696" t="str">
        <f>_xlfn.XLOOKUP('Raw Data'!D696,$V$2:$V$5,$W$2:$W$5,,1)</f>
        <v>15 - 19</v>
      </c>
      <c r="E696">
        <v>2004</v>
      </c>
      <c r="F696" t="str">
        <f>_xlfn.XLOOKUP('Raw Data'!F696,$Q$2:$Q$9,$R$2:$R$9,,1)</f>
        <v>20 - 25</v>
      </c>
      <c r="G696">
        <v>489.3</v>
      </c>
    </row>
    <row r="697" spans="1:7" x14ac:dyDescent="0.25">
      <c r="A697" t="str">
        <f>_xlfn.XLOOKUP('Raw Data'!A697,$M$2:$M$11,$N$2:$N$11,,1)</f>
        <v>23 - 28</v>
      </c>
      <c r="B697" t="str">
        <f>_xlfn.XLOOKUP('Raw Data'!B697,$Q$2:$Q$9,$R$2:$R$9,,1)</f>
        <v>0 - 5</v>
      </c>
      <c r="C697">
        <v>3</v>
      </c>
      <c r="D697" t="str">
        <f>_xlfn.XLOOKUP('Raw Data'!D697,$V$2:$V$5,$W$2:$W$5,,1)</f>
        <v>15 - 19</v>
      </c>
      <c r="E697">
        <v>1992</v>
      </c>
      <c r="F697" t="str">
        <f>_xlfn.XLOOKUP('Raw Data'!F697,$Q$2:$Q$9,$R$2:$R$9,,1)</f>
        <v>30 - 35</v>
      </c>
      <c r="G697">
        <v>501.55</v>
      </c>
    </row>
    <row r="698" spans="1:7" x14ac:dyDescent="0.25">
      <c r="A698" t="str">
        <f>_xlfn.XLOOKUP('Raw Data'!A698,$M$2:$M$11,$N$2:$N$11,,1)</f>
        <v>28 - 33</v>
      </c>
      <c r="B698" t="str">
        <f>_xlfn.XLOOKUP('Raw Data'!B698,$Q$2:$Q$9,$R$2:$R$9,,1)</f>
        <v>10 - 15</v>
      </c>
      <c r="C698">
        <v>4</v>
      </c>
      <c r="D698" t="str">
        <f>_xlfn.XLOOKUP('Raw Data'!D698,$V$2:$V$5,$W$2:$W$5,,1)</f>
        <v>23 - 27</v>
      </c>
      <c r="E698">
        <v>2000</v>
      </c>
      <c r="F698" t="str">
        <f>_xlfn.XLOOKUP('Raw Data'!F698,$Q$2:$Q$9,$R$2:$R$9,,1)</f>
        <v>20 - 25</v>
      </c>
      <c r="G698">
        <v>500.65</v>
      </c>
    </row>
    <row r="699" spans="1:7" x14ac:dyDescent="0.25">
      <c r="A699" t="str">
        <f>_xlfn.XLOOKUP('Raw Data'!A699,$M$2:$M$11,$N$2:$N$11,,1)</f>
        <v>23 - 28</v>
      </c>
      <c r="B699" t="str">
        <f>_xlfn.XLOOKUP('Raw Data'!B699,$Q$2:$Q$9,$R$2:$R$9,,1)</f>
        <v>0 - 5</v>
      </c>
      <c r="C699">
        <v>5</v>
      </c>
      <c r="D699" t="str">
        <f>_xlfn.XLOOKUP('Raw Data'!D699,$V$2:$V$5,$W$2:$W$5,,1)</f>
        <v>19 - 23</v>
      </c>
      <c r="E699">
        <v>2019</v>
      </c>
      <c r="F699" t="str">
        <f>_xlfn.XLOOKUP('Raw Data'!F699,$Q$2:$Q$9,$R$2:$R$9,,1)</f>
        <v>5 - 10</v>
      </c>
      <c r="G699">
        <v>502.55</v>
      </c>
    </row>
    <row r="700" spans="1:7" x14ac:dyDescent="0.25">
      <c r="A700" t="str">
        <f>_xlfn.XLOOKUP('Raw Data'!A700,$M$2:$M$11,$N$2:$N$11,,1)</f>
        <v>48 - 53</v>
      </c>
      <c r="B700" t="str">
        <f>_xlfn.XLOOKUP('Raw Data'!B700,$Q$2:$Q$9,$R$2:$R$9,,1)</f>
        <v>0 - 5</v>
      </c>
      <c r="C700">
        <v>2</v>
      </c>
      <c r="D700" t="str">
        <f>_xlfn.XLOOKUP('Raw Data'!D700,$V$2:$V$5,$W$2:$W$5,,1)</f>
        <v>19 - 23</v>
      </c>
      <c r="E700">
        <v>2007</v>
      </c>
      <c r="F700" t="str">
        <f>_xlfn.XLOOKUP('Raw Data'!F700,$Q$2:$Q$9,$R$2:$R$9,,1)</f>
        <v>15 - 20</v>
      </c>
      <c r="G700">
        <v>495.45</v>
      </c>
    </row>
    <row r="701" spans="1:7" x14ac:dyDescent="0.25">
      <c r="A701" t="str">
        <f>_xlfn.XLOOKUP('Raw Data'!A701,$M$2:$M$11,$N$2:$N$11,,1)</f>
        <v>28 - 33</v>
      </c>
      <c r="B701" t="str">
        <f>_xlfn.XLOOKUP('Raw Data'!B701,$Q$2:$Q$9,$R$2:$R$9,,1)</f>
        <v>0 - 5</v>
      </c>
      <c r="C701">
        <v>4</v>
      </c>
      <c r="D701" t="str">
        <f>_xlfn.XLOOKUP('Raw Data'!D701,$V$2:$V$5,$W$2:$W$5,,1)</f>
        <v>15 - 19</v>
      </c>
      <c r="E701">
        <v>1991</v>
      </c>
      <c r="F701" t="str">
        <f>_xlfn.XLOOKUP('Raw Data'!F701,$Q$2:$Q$9,$R$2:$R$9,,1)</f>
        <v>30 - 35</v>
      </c>
      <c r="G701">
        <v>503.75</v>
      </c>
    </row>
    <row r="702" spans="1:7" x14ac:dyDescent="0.25">
      <c r="A702" t="str">
        <f>_xlfn.XLOOKUP('Raw Data'!A702,$M$2:$M$11,$N$2:$N$11,,1)</f>
        <v>23 - 28</v>
      </c>
      <c r="B702" t="str">
        <f>_xlfn.XLOOKUP('Raw Data'!B702,$Q$2:$Q$9,$R$2:$R$9,,1)</f>
        <v>5 - 10</v>
      </c>
      <c r="C702">
        <v>1</v>
      </c>
      <c r="D702" t="str">
        <f>_xlfn.XLOOKUP('Raw Data'!D702,$V$2:$V$5,$W$2:$W$5,,1)</f>
        <v>11 - 15</v>
      </c>
      <c r="E702">
        <v>2021</v>
      </c>
      <c r="F702" t="str">
        <f>_xlfn.XLOOKUP('Raw Data'!F702,$Q$2:$Q$9,$R$2:$R$9,,1)</f>
        <v>0 - 5</v>
      </c>
      <c r="G702">
        <v>495.45</v>
      </c>
    </row>
    <row r="703" spans="1:7" x14ac:dyDescent="0.25">
      <c r="A703" t="str">
        <f>_xlfn.XLOOKUP('Raw Data'!A703,$M$2:$M$11,$N$2:$N$11,,1)</f>
        <v>53 - 58</v>
      </c>
      <c r="B703" t="str">
        <f>_xlfn.XLOOKUP('Raw Data'!B703,$Q$2:$Q$9,$R$2:$R$9,,1)</f>
        <v>10 - 15</v>
      </c>
      <c r="C703">
        <v>3</v>
      </c>
      <c r="D703" t="str">
        <f>_xlfn.XLOOKUP('Raw Data'!D703,$V$2:$V$5,$W$2:$W$5,,1)</f>
        <v>11 - 15</v>
      </c>
      <c r="E703">
        <v>1997</v>
      </c>
      <c r="F703" t="str">
        <f>_xlfn.XLOOKUP('Raw Data'!F703,$Q$2:$Q$9,$R$2:$R$9,,1)</f>
        <v>25 - 30</v>
      </c>
      <c r="G703">
        <v>492.7</v>
      </c>
    </row>
    <row r="704" spans="1:7" x14ac:dyDescent="0.25">
      <c r="A704" t="str">
        <f>_xlfn.XLOOKUP('Raw Data'!A704,$M$2:$M$11,$N$2:$N$11,,1)</f>
        <v>28 - 33</v>
      </c>
      <c r="B704" t="str">
        <f>_xlfn.XLOOKUP('Raw Data'!B704,$Q$2:$Q$9,$R$2:$R$9,,1)</f>
        <v>10 - 15</v>
      </c>
      <c r="C704">
        <v>3</v>
      </c>
      <c r="D704" t="str">
        <f>_xlfn.XLOOKUP('Raw Data'!D704,$V$2:$V$5,$W$2:$W$5,,1)</f>
        <v>11 - 15</v>
      </c>
      <c r="E704">
        <v>2011</v>
      </c>
      <c r="F704" t="str">
        <f>_xlfn.XLOOKUP('Raw Data'!F704,$Q$2:$Q$9,$R$2:$R$9,,1)</f>
        <v>10 - 15</v>
      </c>
      <c r="G704">
        <v>497.35</v>
      </c>
    </row>
    <row r="705" spans="1:7" x14ac:dyDescent="0.25">
      <c r="A705" t="str">
        <f>_xlfn.XLOOKUP('Raw Data'!A705,$M$2:$M$11,$N$2:$N$11,,1)</f>
        <v>38 - 43</v>
      </c>
      <c r="B705" t="str">
        <f>_xlfn.XLOOKUP('Raw Data'!B705,$Q$2:$Q$9,$R$2:$R$9,,1)</f>
        <v>20 - 25</v>
      </c>
      <c r="C705">
        <v>5</v>
      </c>
      <c r="D705" t="str">
        <f>_xlfn.XLOOKUP('Raw Data'!D705,$V$2:$V$5,$W$2:$W$5,,1)</f>
        <v>11 - 15</v>
      </c>
      <c r="E705">
        <v>1995</v>
      </c>
      <c r="F705" t="str">
        <f>_xlfn.XLOOKUP('Raw Data'!F705,$Q$2:$Q$9,$R$2:$R$9,,1)</f>
        <v>25 - 30</v>
      </c>
      <c r="G705">
        <v>496.05</v>
      </c>
    </row>
    <row r="706" spans="1:7" x14ac:dyDescent="0.25">
      <c r="A706" t="str">
        <f>_xlfn.XLOOKUP('Raw Data'!A706,$M$2:$M$11,$N$2:$N$11,,1)</f>
        <v>43 - 48</v>
      </c>
      <c r="B706" t="str">
        <f>_xlfn.XLOOKUP('Raw Data'!B706,$Q$2:$Q$9,$R$2:$R$9,,1)</f>
        <v>20 - 25</v>
      </c>
      <c r="C706">
        <v>1</v>
      </c>
      <c r="D706" t="str">
        <f>_xlfn.XLOOKUP('Raw Data'!D706,$V$2:$V$5,$W$2:$W$5,,1)</f>
        <v>11 - 15</v>
      </c>
      <c r="E706">
        <v>2001</v>
      </c>
      <c r="F706" t="str">
        <f>_xlfn.XLOOKUP('Raw Data'!F706,$Q$2:$Q$9,$R$2:$R$9,,1)</f>
        <v>20 - 25</v>
      </c>
      <c r="G706">
        <v>488.45</v>
      </c>
    </row>
    <row r="707" spans="1:7" x14ac:dyDescent="0.25">
      <c r="A707" t="str">
        <f>_xlfn.XLOOKUP('Raw Data'!A707,$M$2:$M$11,$N$2:$N$11,,1)</f>
        <v>23 - 28</v>
      </c>
      <c r="B707" t="str">
        <f>_xlfn.XLOOKUP('Raw Data'!B707,$Q$2:$Q$9,$R$2:$R$9,,1)</f>
        <v>5 - 10</v>
      </c>
      <c r="C707">
        <v>5</v>
      </c>
      <c r="D707" t="str">
        <f>_xlfn.XLOOKUP('Raw Data'!D707,$V$2:$V$5,$W$2:$W$5,,1)</f>
        <v>23 - 27</v>
      </c>
      <c r="E707">
        <v>2025</v>
      </c>
      <c r="F707" t="str">
        <f>_xlfn.XLOOKUP('Raw Data'!F707,$Q$2:$Q$9,$R$2:$R$9,,1)</f>
        <v>0 - 5</v>
      </c>
      <c r="G707">
        <v>501.6</v>
      </c>
    </row>
    <row r="708" spans="1:7" x14ac:dyDescent="0.25">
      <c r="A708" t="str">
        <f>_xlfn.XLOOKUP('Raw Data'!A708,$M$2:$M$11,$N$2:$N$11,,1)</f>
        <v>43 - 48</v>
      </c>
      <c r="B708" t="str">
        <f>_xlfn.XLOOKUP('Raw Data'!B708,$Q$2:$Q$9,$R$2:$R$9,,1)</f>
        <v>10 - 15</v>
      </c>
      <c r="C708">
        <v>1</v>
      </c>
      <c r="D708" t="str">
        <f>_xlfn.XLOOKUP('Raw Data'!D708,$V$2:$V$5,$W$2:$W$5,,1)</f>
        <v>19 - 23</v>
      </c>
      <c r="E708">
        <v>2004</v>
      </c>
      <c r="F708" t="str">
        <f>_xlfn.XLOOKUP('Raw Data'!F708,$Q$2:$Q$9,$R$2:$R$9,,1)</f>
        <v>20 - 25</v>
      </c>
      <c r="G708">
        <v>492.35</v>
      </c>
    </row>
    <row r="709" spans="1:7" x14ac:dyDescent="0.25">
      <c r="A709" t="str">
        <f>_xlfn.XLOOKUP('Raw Data'!A709,$M$2:$M$11,$N$2:$N$11,,1)</f>
        <v>48 - 53</v>
      </c>
      <c r="B709" t="str">
        <f>_xlfn.XLOOKUP('Raw Data'!B709,$Q$2:$Q$9,$R$2:$R$9,,1)</f>
        <v>15 - 20</v>
      </c>
      <c r="C709">
        <v>2</v>
      </c>
      <c r="D709" t="str">
        <f>_xlfn.XLOOKUP('Raw Data'!D709,$V$2:$V$5,$W$2:$W$5,,1)</f>
        <v>11 - 15</v>
      </c>
      <c r="E709">
        <v>2017</v>
      </c>
      <c r="F709" t="str">
        <f>_xlfn.XLOOKUP('Raw Data'!F709,$Q$2:$Q$9,$R$2:$R$9,,1)</f>
        <v>5 - 10</v>
      </c>
      <c r="G709">
        <v>488.7</v>
      </c>
    </row>
    <row r="710" spans="1:7" x14ac:dyDescent="0.25">
      <c r="A710" t="str">
        <f>_xlfn.XLOOKUP('Raw Data'!A710,$M$2:$M$11,$N$2:$N$11,,1)</f>
        <v>38 - 43</v>
      </c>
      <c r="B710" t="str">
        <f>_xlfn.XLOOKUP('Raw Data'!B710,$Q$2:$Q$9,$R$2:$R$9,,1)</f>
        <v>10 - 15</v>
      </c>
      <c r="C710">
        <v>3</v>
      </c>
      <c r="D710" t="str">
        <f>_xlfn.XLOOKUP('Raw Data'!D710,$V$2:$V$5,$W$2:$W$5,,1)</f>
        <v>19 - 23</v>
      </c>
      <c r="E710">
        <v>2007</v>
      </c>
      <c r="F710" t="str">
        <f>_xlfn.XLOOKUP('Raw Data'!F710,$Q$2:$Q$9,$R$2:$R$9,,1)</f>
        <v>15 - 20</v>
      </c>
      <c r="G710">
        <v>494.6</v>
      </c>
    </row>
    <row r="711" spans="1:7" x14ac:dyDescent="0.25">
      <c r="A711" t="str">
        <f>_xlfn.XLOOKUP('Raw Data'!A711,$M$2:$M$11,$N$2:$N$11,,1)</f>
        <v>23 - 28</v>
      </c>
      <c r="B711" t="str">
        <f>_xlfn.XLOOKUP('Raw Data'!B711,$Q$2:$Q$9,$R$2:$R$9,,1)</f>
        <v>5 - 10</v>
      </c>
      <c r="C711">
        <v>3</v>
      </c>
      <c r="D711" t="str">
        <f>_xlfn.XLOOKUP('Raw Data'!D711,$V$2:$V$5,$W$2:$W$5,,1)</f>
        <v>11 - 15</v>
      </c>
      <c r="E711">
        <v>1991</v>
      </c>
      <c r="F711" t="str">
        <f>_xlfn.XLOOKUP('Raw Data'!F711,$Q$2:$Q$9,$R$2:$R$9,,1)</f>
        <v>30 - 35</v>
      </c>
      <c r="G711">
        <v>501.45</v>
      </c>
    </row>
    <row r="712" spans="1:7" x14ac:dyDescent="0.25">
      <c r="A712" t="str">
        <f>_xlfn.XLOOKUP('Raw Data'!A712,$M$2:$M$11,$N$2:$N$11,,1)</f>
        <v>43 - 48</v>
      </c>
      <c r="B712" t="str">
        <f>_xlfn.XLOOKUP('Raw Data'!B712,$Q$2:$Q$9,$R$2:$R$9,,1)</f>
        <v>25 - 30</v>
      </c>
      <c r="C712">
        <v>2</v>
      </c>
      <c r="D712" t="str">
        <f>_xlfn.XLOOKUP('Raw Data'!D712,$V$2:$V$5,$W$2:$W$5,,1)</f>
        <v>23 - 27</v>
      </c>
      <c r="E712">
        <v>2002</v>
      </c>
      <c r="F712" t="str">
        <f>_xlfn.XLOOKUP('Raw Data'!F712,$Q$2:$Q$9,$R$2:$R$9,,1)</f>
        <v>20 - 25</v>
      </c>
      <c r="G712">
        <v>489.75</v>
      </c>
    </row>
    <row r="713" spans="1:7" x14ac:dyDescent="0.25">
      <c r="A713" t="str">
        <f>_xlfn.XLOOKUP('Raw Data'!A713,$M$2:$M$11,$N$2:$N$11,,1)</f>
        <v>43 - 48</v>
      </c>
      <c r="B713" t="str">
        <f>_xlfn.XLOOKUP('Raw Data'!B713,$Q$2:$Q$9,$R$2:$R$9,,1)</f>
        <v>5 - 10</v>
      </c>
      <c r="C713">
        <v>0</v>
      </c>
      <c r="D713" t="str">
        <f>_xlfn.XLOOKUP('Raw Data'!D713,$V$2:$V$5,$W$2:$W$5,,1)</f>
        <v>23 - 27</v>
      </c>
      <c r="E713">
        <v>2004</v>
      </c>
      <c r="F713" t="str">
        <f>_xlfn.XLOOKUP('Raw Data'!F713,$Q$2:$Q$9,$R$2:$R$9,,1)</f>
        <v>20 - 25</v>
      </c>
      <c r="G713">
        <v>492.25</v>
      </c>
    </row>
    <row r="714" spans="1:7" x14ac:dyDescent="0.25">
      <c r="A714" t="str">
        <f>_xlfn.XLOOKUP('Raw Data'!A714,$M$2:$M$11,$N$2:$N$11,,1)</f>
        <v>53 - 58</v>
      </c>
      <c r="B714" t="str">
        <f>_xlfn.XLOOKUP('Raw Data'!B714,$Q$2:$Q$9,$R$2:$R$9,,1)</f>
        <v>20 - 25</v>
      </c>
      <c r="C714">
        <v>5</v>
      </c>
      <c r="D714" t="str">
        <f>_xlfn.XLOOKUP('Raw Data'!D714,$V$2:$V$5,$W$2:$W$5,,1)</f>
        <v>23 - 27</v>
      </c>
      <c r="E714">
        <v>2009</v>
      </c>
      <c r="F714" t="str">
        <f>_xlfn.XLOOKUP('Raw Data'!F714,$Q$2:$Q$9,$R$2:$R$9,,1)</f>
        <v>15 - 20</v>
      </c>
      <c r="G714">
        <v>492.35</v>
      </c>
    </row>
    <row r="715" spans="1:7" x14ac:dyDescent="0.25">
      <c r="A715" t="str">
        <f>_xlfn.XLOOKUP('Raw Data'!A715,$M$2:$M$11,$N$2:$N$11,,1)</f>
        <v>53 - 58</v>
      </c>
      <c r="B715" t="str">
        <f>_xlfn.XLOOKUP('Raw Data'!B715,$Q$2:$Q$9,$R$2:$R$9,,1)</f>
        <v>15 - 20</v>
      </c>
      <c r="C715">
        <v>2</v>
      </c>
      <c r="D715" t="str">
        <f>_xlfn.XLOOKUP('Raw Data'!D715,$V$2:$V$5,$W$2:$W$5,,1)</f>
        <v>11 - 15</v>
      </c>
      <c r="E715">
        <v>2018</v>
      </c>
      <c r="F715" t="str">
        <f>_xlfn.XLOOKUP('Raw Data'!F715,$Q$2:$Q$9,$R$2:$R$9,,1)</f>
        <v>5 - 10</v>
      </c>
      <c r="G715">
        <v>488</v>
      </c>
    </row>
    <row r="716" spans="1:7" x14ac:dyDescent="0.25">
      <c r="A716" t="str">
        <f>_xlfn.XLOOKUP('Raw Data'!A716,$M$2:$M$11,$N$2:$N$11,,1)</f>
        <v>48 - 53</v>
      </c>
      <c r="B716" t="str">
        <f>_xlfn.XLOOKUP('Raw Data'!B716,$Q$2:$Q$9,$R$2:$R$9,,1)</f>
        <v>25 - 30</v>
      </c>
      <c r="C716">
        <v>5</v>
      </c>
      <c r="D716" t="str">
        <f>_xlfn.XLOOKUP('Raw Data'!D716,$V$2:$V$5,$W$2:$W$5,,1)</f>
        <v>15 - 19</v>
      </c>
      <c r="E716">
        <v>2018</v>
      </c>
      <c r="F716" t="str">
        <f>_xlfn.XLOOKUP('Raw Data'!F716,$Q$2:$Q$9,$R$2:$R$9,,1)</f>
        <v>5 - 10</v>
      </c>
      <c r="G716">
        <v>490.05</v>
      </c>
    </row>
    <row r="717" spans="1:7" x14ac:dyDescent="0.25">
      <c r="A717" t="str">
        <f>_xlfn.XLOOKUP('Raw Data'!A717,$M$2:$M$11,$N$2:$N$11,,1)</f>
        <v>43 - 48</v>
      </c>
      <c r="B717" t="str">
        <f>_xlfn.XLOOKUP('Raw Data'!B717,$Q$2:$Q$9,$R$2:$R$9,,1)</f>
        <v>5 - 10</v>
      </c>
      <c r="C717">
        <v>4</v>
      </c>
      <c r="D717" t="str">
        <f>_xlfn.XLOOKUP('Raw Data'!D717,$V$2:$V$5,$W$2:$W$5,,1)</f>
        <v>19 - 23</v>
      </c>
      <c r="E717">
        <v>1992</v>
      </c>
      <c r="F717" t="str">
        <f>_xlfn.XLOOKUP('Raw Data'!F717,$Q$2:$Q$9,$R$2:$R$9,,1)</f>
        <v>30 - 35</v>
      </c>
      <c r="G717">
        <v>499.55</v>
      </c>
    </row>
    <row r="718" spans="1:7" x14ac:dyDescent="0.25">
      <c r="A718" t="str">
        <f>_xlfn.XLOOKUP('Raw Data'!A718,$M$2:$M$11,$N$2:$N$11,,1)</f>
        <v>33 - 38</v>
      </c>
      <c r="B718" t="str">
        <f>_xlfn.XLOOKUP('Raw Data'!B718,$Q$2:$Q$9,$R$2:$R$9,,1)</f>
        <v>10 - 15</v>
      </c>
      <c r="C718">
        <v>3</v>
      </c>
      <c r="D718" t="str">
        <f>_xlfn.XLOOKUP('Raw Data'!D718,$V$2:$V$5,$W$2:$W$5,,1)</f>
        <v>11 - 15</v>
      </c>
      <c r="E718">
        <v>2008</v>
      </c>
      <c r="F718" t="str">
        <f>_xlfn.XLOOKUP('Raw Data'!F718,$Q$2:$Q$9,$R$2:$R$9,,1)</f>
        <v>15 - 20</v>
      </c>
      <c r="G718">
        <v>495.85</v>
      </c>
    </row>
    <row r="719" spans="1:7" x14ac:dyDescent="0.25">
      <c r="A719" t="str">
        <f>_xlfn.XLOOKUP('Raw Data'!A719,$M$2:$M$11,$N$2:$N$11,,1)</f>
        <v>23 - 28</v>
      </c>
      <c r="B719" t="str">
        <f>_xlfn.XLOOKUP('Raw Data'!B719,$Q$2:$Q$9,$R$2:$R$9,,1)</f>
        <v>5 - 10</v>
      </c>
      <c r="C719">
        <v>5</v>
      </c>
      <c r="D719" t="str">
        <f>_xlfn.XLOOKUP('Raw Data'!D719,$V$2:$V$5,$W$2:$W$5,,1)</f>
        <v>23 - 27</v>
      </c>
      <c r="E719">
        <v>1992</v>
      </c>
      <c r="F719" t="str">
        <f>_xlfn.XLOOKUP('Raw Data'!F719,$Q$2:$Q$9,$R$2:$R$9,,1)</f>
        <v>30 - 35</v>
      </c>
      <c r="G719">
        <v>504.45</v>
      </c>
    </row>
    <row r="720" spans="1:7" x14ac:dyDescent="0.25">
      <c r="A720" t="str">
        <f>_xlfn.XLOOKUP('Raw Data'!A720,$M$2:$M$11,$N$2:$N$11,,1)</f>
        <v>48 - 53</v>
      </c>
      <c r="B720" t="str">
        <f>_xlfn.XLOOKUP('Raw Data'!B720,$Q$2:$Q$9,$R$2:$R$9,,1)</f>
        <v>5 - 10</v>
      </c>
      <c r="C720">
        <v>1</v>
      </c>
      <c r="D720" t="str">
        <f>_xlfn.XLOOKUP('Raw Data'!D720,$V$2:$V$5,$W$2:$W$5,,1)</f>
        <v>15 - 19</v>
      </c>
      <c r="E720">
        <v>2003</v>
      </c>
      <c r="F720" t="str">
        <f>_xlfn.XLOOKUP('Raw Data'!F720,$Q$2:$Q$9,$R$2:$R$9,,1)</f>
        <v>20 - 25</v>
      </c>
      <c r="G720">
        <v>492.85</v>
      </c>
    </row>
    <row r="721" spans="1:7" x14ac:dyDescent="0.25">
      <c r="A721" t="str">
        <f>_xlfn.XLOOKUP('Raw Data'!A721,$M$2:$M$11,$N$2:$N$11,,1)</f>
        <v>33 - 38</v>
      </c>
      <c r="B721" t="str">
        <f>_xlfn.XLOOKUP('Raw Data'!B721,$Q$2:$Q$9,$R$2:$R$9,,1)</f>
        <v>0 - 5</v>
      </c>
      <c r="C721">
        <v>5</v>
      </c>
      <c r="D721" t="str">
        <f>_xlfn.XLOOKUP('Raw Data'!D721,$V$2:$V$5,$W$2:$W$5,,1)</f>
        <v>15 - 19</v>
      </c>
      <c r="E721">
        <v>1993</v>
      </c>
      <c r="F721" t="str">
        <f>_xlfn.XLOOKUP('Raw Data'!F721,$Q$2:$Q$9,$R$2:$R$9,,1)</f>
        <v>30 - 35</v>
      </c>
      <c r="G721">
        <v>503.6</v>
      </c>
    </row>
    <row r="722" spans="1:7" x14ac:dyDescent="0.25">
      <c r="A722" t="str">
        <f>_xlfn.XLOOKUP('Raw Data'!A722,$M$2:$M$11,$N$2:$N$11,,1)</f>
        <v>28 - 33</v>
      </c>
      <c r="B722" t="str">
        <f>_xlfn.XLOOKUP('Raw Data'!B722,$Q$2:$Q$9,$R$2:$R$9,,1)</f>
        <v>10 - 15</v>
      </c>
      <c r="C722">
        <v>4</v>
      </c>
      <c r="D722" t="str">
        <f>_xlfn.XLOOKUP('Raw Data'!D722,$V$2:$V$5,$W$2:$W$5,,1)</f>
        <v>11 - 15</v>
      </c>
      <c r="E722">
        <v>2000</v>
      </c>
      <c r="F722" t="str">
        <f>_xlfn.XLOOKUP('Raw Data'!F722,$Q$2:$Q$9,$R$2:$R$9,,1)</f>
        <v>20 - 25</v>
      </c>
      <c r="G722">
        <v>499.6</v>
      </c>
    </row>
    <row r="723" spans="1:7" x14ac:dyDescent="0.25">
      <c r="A723" t="str">
        <f>_xlfn.XLOOKUP('Raw Data'!A723,$M$2:$M$11,$N$2:$N$11,,1)</f>
        <v>43 - 48</v>
      </c>
      <c r="B723" t="str">
        <f>_xlfn.XLOOKUP('Raw Data'!B723,$Q$2:$Q$9,$R$2:$R$9,,1)</f>
        <v>20 - 25</v>
      </c>
      <c r="C723">
        <v>3</v>
      </c>
      <c r="D723" t="str">
        <f>_xlfn.XLOOKUP('Raw Data'!D723,$V$2:$V$5,$W$2:$W$5,,1)</f>
        <v>19 - 23</v>
      </c>
      <c r="E723">
        <v>2020</v>
      </c>
      <c r="F723" t="str">
        <f>_xlfn.XLOOKUP('Raw Data'!F723,$Q$2:$Q$9,$R$2:$R$9,,1)</f>
        <v>0 - 5</v>
      </c>
      <c r="G723">
        <v>490.25</v>
      </c>
    </row>
    <row r="724" spans="1:7" x14ac:dyDescent="0.25">
      <c r="A724" t="str">
        <f>_xlfn.XLOOKUP('Raw Data'!A724,$M$2:$M$11,$N$2:$N$11,,1)</f>
        <v>63 - 68</v>
      </c>
      <c r="B724" t="str">
        <f>_xlfn.XLOOKUP('Raw Data'!B724,$Q$2:$Q$9,$R$2:$R$9,,1)</f>
        <v>0 - 5</v>
      </c>
      <c r="C724">
        <v>2</v>
      </c>
      <c r="D724" t="str">
        <f>_xlfn.XLOOKUP('Raw Data'!D724,$V$2:$V$5,$W$2:$W$5,,1)</f>
        <v>11 - 15</v>
      </c>
      <c r="E724">
        <v>2021</v>
      </c>
      <c r="F724" t="str">
        <f>_xlfn.XLOOKUP('Raw Data'!F724,$Q$2:$Q$9,$R$2:$R$9,,1)</f>
        <v>0 - 5</v>
      </c>
      <c r="G724">
        <v>490.35</v>
      </c>
    </row>
    <row r="725" spans="1:7" x14ac:dyDescent="0.25">
      <c r="A725" t="str">
        <f>_xlfn.XLOOKUP('Raw Data'!A725,$M$2:$M$11,$N$2:$N$11,,1)</f>
        <v>43 - 48</v>
      </c>
      <c r="B725" t="str">
        <f>_xlfn.XLOOKUP('Raw Data'!B725,$Q$2:$Q$9,$R$2:$R$9,,1)</f>
        <v>15 - 20</v>
      </c>
      <c r="C725">
        <v>4</v>
      </c>
      <c r="D725" t="str">
        <f>_xlfn.XLOOKUP('Raw Data'!D725,$V$2:$V$5,$W$2:$W$5,,1)</f>
        <v>11 - 15</v>
      </c>
      <c r="E725">
        <v>2016</v>
      </c>
      <c r="F725" t="str">
        <f>_xlfn.XLOOKUP('Raw Data'!F725,$Q$2:$Q$9,$R$2:$R$9,,1)</f>
        <v>5 - 10</v>
      </c>
      <c r="G725">
        <v>492.55</v>
      </c>
    </row>
    <row r="726" spans="1:7" x14ac:dyDescent="0.25">
      <c r="A726" t="str">
        <f>_xlfn.XLOOKUP('Raw Data'!A726,$M$2:$M$11,$N$2:$N$11,,1)</f>
        <v>28 - 33</v>
      </c>
      <c r="B726" t="str">
        <f>_xlfn.XLOOKUP('Raw Data'!B726,$Q$2:$Q$9,$R$2:$R$9,,1)</f>
        <v>10 - 15</v>
      </c>
      <c r="C726">
        <v>3</v>
      </c>
      <c r="D726" t="str">
        <f>_xlfn.XLOOKUP('Raw Data'!D726,$V$2:$V$5,$W$2:$W$5,,1)</f>
        <v>11 - 15</v>
      </c>
      <c r="E726">
        <v>2019</v>
      </c>
      <c r="F726" t="str">
        <f>_xlfn.XLOOKUP('Raw Data'!F726,$Q$2:$Q$9,$R$2:$R$9,,1)</f>
        <v>5 - 10</v>
      </c>
      <c r="G726">
        <v>496.05</v>
      </c>
    </row>
    <row r="727" spans="1:7" x14ac:dyDescent="0.25">
      <c r="A727" t="str">
        <f>_xlfn.XLOOKUP('Raw Data'!A727,$M$2:$M$11,$N$2:$N$11,,1)</f>
        <v>58 - 63</v>
      </c>
      <c r="B727" t="str">
        <f>_xlfn.XLOOKUP('Raw Data'!B727,$Q$2:$Q$9,$R$2:$R$9,,1)</f>
        <v>20 - 25</v>
      </c>
      <c r="C727">
        <v>5</v>
      </c>
      <c r="D727" t="str">
        <f>_xlfn.XLOOKUP('Raw Data'!D727,$V$2:$V$5,$W$2:$W$5,,1)</f>
        <v>11 - 15</v>
      </c>
      <c r="E727">
        <v>1991</v>
      </c>
      <c r="F727" t="str">
        <f>_xlfn.XLOOKUP('Raw Data'!F727,$Q$2:$Q$9,$R$2:$R$9,,1)</f>
        <v>30 - 35</v>
      </c>
      <c r="G727">
        <v>491.65</v>
      </c>
    </row>
    <row r="728" spans="1:7" x14ac:dyDescent="0.25">
      <c r="A728" t="str">
        <f>_xlfn.XLOOKUP('Raw Data'!A728,$M$2:$M$11,$N$2:$N$11,,1)</f>
        <v>48 - 53</v>
      </c>
      <c r="B728" t="str">
        <f>_xlfn.XLOOKUP('Raw Data'!B728,$Q$2:$Q$9,$R$2:$R$9,,1)</f>
        <v>25 - 30</v>
      </c>
      <c r="C728">
        <v>0</v>
      </c>
      <c r="D728" t="str">
        <f>_xlfn.XLOOKUP('Raw Data'!D728,$V$2:$V$5,$W$2:$W$5,,1)</f>
        <v>15 - 19</v>
      </c>
      <c r="E728">
        <v>1998</v>
      </c>
      <c r="F728" t="str">
        <f>_xlfn.XLOOKUP('Raw Data'!F728,$Q$2:$Q$9,$R$2:$R$9,,1)</f>
        <v>25 - 30</v>
      </c>
      <c r="G728">
        <v>484.5</v>
      </c>
    </row>
    <row r="729" spans="1:7" x14ac:dyDescent="0.25">
      <c r="A729" t="str">
        <f>_xlfn.XLOOKUP('Raw Data'!A729,$M$2:$M$11,$N$2:$N$11,,1)</f>
        <v>18 - 23</v>
      </c>
      <c r="B729" t="str">
        <f>_xlfn.XLOOKUP('Raw Data'!B729,$Q$2:$Q$9,$R$2:$R$9,,1)</f>
        <v>0 - 5</v>
      </c>
      <c r="C729">
        <v>0</v>
      </c>
      <c r="D729" t="str">
        <f>_xlfn.XLOOKUP('Raw Data'!D729,$V$2:$V$5,$W$2:$W$5,,1)</f>
        <v>11 - 15</v>
      </c>
      <c r="E729">
        <v>2017</v>
      </c>
      <c r="F729" t="str">
        <f>_xlfn.XLOOKUP('Raw Data'!F729,$Q$2:$Q$9,$R$2:$R$9,,1)</f>
        <v>5 - 10</v>
      </c>
      <c r="G729">
        <v>495.35</v>
      </c>
    </row>
    <row r="730" spans="1:7" x14ac:dyDescent="0.25">
      <c r="A730" t="str">
        <f>_xlfn.XLOOKUP('Raw Data'!A730,$M$2:$M$11,$N$2:$N$11,,1)</f>
        <v>33 - 38</v>
      </c>
      <c r="B730" t="str">
        <f>_xlfn.XLOOKUP('Raw Data'!B730,$Q$2:$Q$9,$R$2:$R$9,,1)</f>
        <v>5 - 10</v>
      </c>
      <c r="C730">
        <v>1</v>
      </c>
      <c r="D730" t="str">
        <f>_xlfn.XLOOKUP('Raw Data'!D730,$V$2:$V$5,$W$2:$W$5,,1)</f>
        <v>23 - 27</v>
      </c>
      <c r="E730">
        <v>2020</v>
      </c>
      <c r="F730" t="str">
        <f>_xlfn.XLOOKUP('Raw Data'!F730,$Q$2:$Q$9,$R$2:$R$9,,1)</f>
        <v>0 - 5</v>
      </c>
      <c r="G730">
        <v>494.45</v>
      </c>
    </row>
    <row r="731" spans="1:7" x14ac:dyDescent="0.25">
      <c r="A731" t="str">
        <f>_xlfn.XLOOKUP('Raw Data'!A731,$M$2:$M$11,$N$2:$N$11,,1)</f>
        <v>18 - 23</v>
      </c>
      <c r="B731" t="str">
        <f>_xlfn.XLOOKUP('Raw Data'!B731,$Q$2:$Q$9,$R$2:$R$9,,1)</f>
        <v>0 - 5</v>
      </c>
      <c r="C731">
        <v>3</v>
      </c>
      <c r="D731" t="str">
        <f>_xlfn.XLOOKUP('Raw Data'!D731,$V$2:$V$5,$W$2:$W$5,,1)</f>
        <v>15 - 19</v>
      </c>
      <c r="E731">
        <v>2023</v>
      </c>
      <c r="F731" t="str">
        <f>_xlfn.XLOOKUP('Raw Data'!F731,$Q$2:$Q$9,$R$2:$R$9,,1)</f>
        <v>0 - 5</v>
      </c>
      <c r="G731">
        <v>499.9</v>
      </c>
    </row>
    <row r="732" spans="1:7" x14ac:dyDescent="0.25">
      <c r="A732" t="str">
        <f>_xlfn.XLOOKUP('Raw Data'!A732,$M$2:$M$11,$N$2:$N$11,,1)</f>
        <v>63 - 68</v>
      </c>
      <c r="B732" t="str">
        <f>_xlfn.XLOOKUP('Raw Data'!B732,$Q$2:$Q$9,$R$2:$R$9,,1)</f>
        <v>15 - 20</v>
      </c>
      <c r="C732">
        <v>0</v>
      </c>
      <c r="D732" t="str">
        <f>_xlfn.XLOOKUP('Raw Data'!D732,$V$2:$V$5,$W$2:$W$5,,1)</f>
        <v>11 - 15</v>
      </c>
      <c r="E732">
        <v>2004</v>
      </c>
      <c r="F732" t="str">
        <f>_xlfn.XLOOKUP('Raw Data'!F732,$Q$2:$Q$9,$R$2:$R$9,,1)</f>
        <v>20 - 25</v>
      </c>
      <c r="G732">
        <v>484.25</v>
      </c>
    </row>
    <row r="733" spans="1:7" x14ac:dyDescent="0.25">
      <c r="A733" t="str">
        <f>_xlfn.XLOOKUP('Raw Data'!A733,$M$2:$M$11,$N$2:$N$11,,1)</f>
        <v>38 - 43</v>
      </c>
      <c r="B733" t="str">
        <f>_xlfn.XLOOKUP('Raw Data'!B733,$Q$2:$Q$9,$R$2:$R$9,,1)</f>
        <v>20 - 25</v>
      </c>
      <c r="C733">
        <v>2</v>
      </c>
      <c r="D733" t="str">
        <f>_xlfn.XLOOKUP('Raw Data'!D733,$V$2:$V$5,$W$2:$W$5,,1)</f>
        <v>19 - 23</v>
      </c>
      <c r="E733">
        <v>2014</v>
      </c>
      <c r="F733" t="str">
        <f>_xlfn.XLOOKUP('Raw Data'!F733,$Q$2:$Q$9,$R$2:$R$9,,1)</f>
        <v>10 - 15</v>
      </c>
      <c r="G733">
        <v>489.55</v>
      </c>
    </row>
    <row r="734" spans="1:7" x14ac:dyDescent="0.25">
      <c r="A734" t="str">
        <f>_xlfn.XLOOKUP('Raw Data'!A734,$M$2:$M$11,$N$2:$N$11,,1)</f>
        <v>18 - 23</v>
      </c>
      <c r="B734" t="str">
        <f>_xlfn.XLOOKUP('Raw Data'!B734,$Q$2:$Q$9,$R$2:$R$9,,1)</f>
        <v>0 - 5</v>
      </c>
      <c r="C734">
        <v>3</v>
      </c>
      <c r="D734" t="str">
        <f>_xlfn.XLOOKUP('Raw Data'!D734,$V$2:$V$5,$W$2:$W$5,,1)</f>
        <v>11 - 15</v>
      </c>
      <c r="E734">
        <v>2025</v>
      </c>
      <c r="F734" t="str">
        <f>_xlfn.XLOOKUP('Raw Data'!F734,$Q$2:$Q$9,$R$2:$R$9,,1)</f>
        <v>0 - 5</v>
      </c>
      <c r="G734">
        <v>501.15</v>
      </c>
    </row>
    <row r="735" spans="1:7" x14ac:dyDescent="0.25">
      <c r="A735" t="str">
        <f>_xlfn.XLOOKUP('Raw Data'!A735,$M$2:$M$11,$N$2:$N$11,,1)</f>
        <v>23 - 28</v>
      </c>
      <c r="B735" t="str">
        <f>_xlfn.XLOOKUP('Raw Data'!B735,$Q$2:$Q$9,$R$2:$R$9,,1)</f>
        <v>5 - 10</v>
      </c>
      <c r="C735">
        <v>2</v>
      </c>
      <c r="D735" t="str">
        <f>_xlfn.XLOOKUP('Raw Data'!D735,$V$2:$V$5,$W$2:$W$5,,1)</f>
        <v>19 - 23</v>
      </c>
      <c r="E735">
        <v>1997</v>
      </c>
      <c r="F735" t="str">
        <f>_xlfn.XLOOKUP('Raw Data'!F735,$Q$2:$Q$9,$R$2:$R$9,,1)</f>
        <v>25 - 30</v>
      </c>
      <c r="G735">
        <v>498.85</v>
      </c>
    </row>
    <row r="736" spans="1:7" x14ac:dyDescent="0.25">
      <c r="A736" t="str">
        <f>_xlfn.XLOOKUP('Raw Data'!A736,$M$2:$M$11,$N$2:$N$11,,1)</f>
        <v>43 - 48</v>
      </c>
      <c r="B736" t="str">
        <f>_xlfn.XLOOKUP('Raw Data'!B736,$Q$2:$Q$9,$R$2:$R$9,,1)</f>
        <v>20 - 25</v>
      </c>
      <c r="C736">
        <v>2</v>
      </c>
      <c r="D736" t="str">
        <f>_xlfn.XLOOKUP('Raw Data'!D736,$V$2:$V$5,$W$2:$W$5,,1)</f>
        <v>23 - 27</v>
      </c>
      <c r="E736">
        <v>1998</v>
      </c>
      <c r="F736" t="str">
        <f>_xlfn.XLOOKUP('Raw Data'!F736,$Q$2:$Q$9,$R$2:$R$9,,1)</f>
        <v>25 - 30</v>
      </c>
      <c r="G736">
        <v>491.25</v>
      </c>
    </row>
    <row r="737" spans="1:7" x14ac:dyDescent="0.25">
      <c r="A737" t="str">
        <f>_xlfn.XLOOKUP('Raw Data'!A737,$M$2:$M$11,$N$2:$N$11,,1)</f>
        <v>58 - 63</v>
      </c>
      <c r="B737" t="str">
        <f>_xlfn.XLOOKUP('Raw Data'!B737,$Q$2:$Q$9,$R$2:$R$9,,1)</f>
        <v>0 - 5</v>
      </c>
      <c r="C737">
        <v>0</v>
      </c>
      <c r="D737" t="str">
        <f>_xlfn.XLOOKUP('Raw Data'!D737,$V$2:$V$5,$W$2:$W$5,,1)</f>
        <v>23 - 27</v>
      </c>
      <c r="E737">
        <v>2021</v>
      </c>
      <c r="F737" t="str">
        <f>_xlfn.XLOOKUP('Raw Data'!F737,$Q$2:$Q$9,$R$2:$R$9,,1)</f>
        <v>0 - 5</v>
      </c>
      <c r="G737">
        <v>488.9</v>
      </c>
    </row>
    <row r="738" spans="1:7" x14ac:dyDescent="0.25">
      <c r="A738" t="str">
        <f>_xlfn.XLOOKUP('Raw Data'!A738,$M$2:$M$11,$N$2:$N$11,,1)</f>
        <v>18 - 23</v>
      </c>
      <c r="B738" t="str">
        <f>_xlfn.XLOOKUP('Raw Data'!B738,$Q$2:$Q$9,$R$2:$R$9,,1)</f>
        <v>0 - 5</v>
      </c>
      <c r="C738">
        <v>3</v>
      </c>
      <c r="D738" t="str">
        <f>_xlfn.XLOOKUP('Raw Data'!D738,$V$2:$V$5,$W$2:$W$5,,1)</f>
        <v>19 - 23</v>
      </c>
      <c r="E738">
        <v>2006</v>
      </c>
      <c r="F738" t="str">
        <f>_xlfn.XLOOKUP('Raw Data'!F738,$Q$2:$Q$9,$R$2:$R$9,,1)</f>
        <v>15 - 20</v>
      </c>
      <c r="G738">
        <v>501.95</v>
      </c>
    </row>
    <row r="739" spans="1:7" x14ac:dyDescent="0.25">
      <c r="A739" t="str">
        <f>_xlfn.XLOOKUP('Raw Data'!A739,$M$2:$M$11,$N$2:$N$11,,1)</f>
        <v>48 - 53</v>
      </c>
      <c r="B739" t="str">
        <f>_xlfn.XLOOKUP('Raw Data'!B739,$Q$2:$Q$9,$R$2:$R$9,,1)</f>
        <v>5 - 10</v>
      </c>
      <c r="C739">
        <v>5</v>
      </c>
      <c r="D739" t="str">
        <f>_xlfn.XLOOKUP('Raw Data'!D739,$V$2:$V$5,$W$2:$W$5,,1)</f>
        <v>23 - 27</v>
      </c>
      <c r="E739">
        <v>2024</v>
      </c>
      <c r="F739" t="str">
        <f>_xlfn.XLOOKUP('Raw Data'!F739,$Q$2:$Q$9,$R$2:$R$9,,1)</f>
        <v>0 - 5</v>
      </c>
      <c r="G739">
        <v>496.75</v>
      </c>
    </row>
    <row r="740" spans="1:7" x14ac:dyDescent="0.25">
      <c r="A740" t="str">
        <f>_xlfn.XLOOKUP('Raw Data'!A740,$M$2:$M$11,$N$2:$N$11,,1)</f>
        <v>18 - 23</v>
      </c>
      <c r="B740" t="str">
        <f>_xlfn.XLOOKUP('Raw Data'!B740,$Q$2:$Q$9,$R$2:$R$9,,1)</f>
        <v>0 - 5</v>
      </c>
      <c r="C740">
        <v>4</v>
      </c>
      <c r="D740" t="str">
        <f>_xlfn.XLOOKUP('Raw Data'!D740,$V$2:$V$5,$W$2:$W$5,,1)</f>
        <v>15 - 19</v>
      </c>
      <c r="E740">
        <v>2008</v>
      </c>
      <c r="F740" t="str">
        <f>_xlfn.XLOOKUP('Raw Data'!F740,$Q$2:$Q$9,$R$2:$R$9,,1)</f>
        <v>15 - 20</v>
      </c>
      <c r="G740">
        <v>504.95</v>
      </c>
    </row>
    <row r="741" spans="1:7" x14ac:dyDescent="0.25">
      <c r="A741" t="str">
        <f>_xlfn.XLOOKUP('Raw Data'!A741,$M$2:$M$11,$N$2:$N$11,,1)</f>
        <v>33 - 38</v>
      </c>
      <c r="B741" t="str">
        <f>_xlfn.XLOOKUP('Raw Data'!B741,$Q$2:$Q$9,$R$2:$R$9,,1)</f>
        <v>10 - 15</v>
      </c>
      <c r="C741">
        <v>0</v>
      </c>
      <c r="D741" t="str">
        <f>_xlfn.XLOOKUP('Raw Data'!D741,$V$2:$V$5,$W$2:$W$5,,1)</f>
        <v>11 - 15</v>
      </c>
      <c r="E741">
        <v>2018</v>
      </c>
      <c r="F741" t="str">
        <f>_xlfn.XLOOKUP('Raw Data'!F741,$Q$2:$Q$9,$R$2:$R$9,,1)</f>
        <v>5 - 10</v>
      </c>
      <c r="G741">
        <v>490.7</v>
      </c>
    </row>
    <row r="742" spans="1:7" x14ac:dyDescent="0.25">
      <c r="A742" t="str">
        <f>_xlfn.XLOOKUP('Raw Data'!A742,$M$2:$M$11,$N$2:$N$11,,1)</f>
        <v>48 - 53</v>
      </c>
      <c r="B742" t="str">
        <f>_xlfn.XLOOKUP('Raw Data'!B742,$Q$2:$Q$9,$R$2:$R$9,,1)</f>
        <v>15 - 20</v>
      </c>
      <c r="C742">
        <v>0</v>
      </c>
      <c r="D742" t="str">
        <f>_xlfn.XLOOKUP('Raw Data'!D742,$V$2:$V$5,$W$2:$W$5,,1)</f>
        <v>15 - 19</v>
      </c>
      <c r="E742">
        <v>1996</v>
      </c>
      <c r="F742" t="str">
        <f>_xlfn.XLOOKUP('Raw Data'!F742,$Q$2:$Q$9,$R$2:$R$9,,1)</f>
        <v>25 - 30</v>
      </c>
      <c r="G742">
        <v>489.1</v>
      </c>
    </row>
    <row r="743" spans="1:7" x14ac:dyDescent="0.25">
      <c r="A743" t="str">
        <f>_xlfn.XLOOKUP('Raw Data'!A743,$M$2:$M$11,$N$2:$N$11,,1)</f>
        <v>63 - 68</v>
      </c>
      <c r="B743" t="str">
        <f>_xlfn.XLOOKUP('Raw Data'!B743,$Q$2:$Q$9,$R$2:$R$9,,1)</f>
        <v>5 - 10</v>
      </c>
      <c r="C743">
        <v>5</v>
      </c>
      <c r="D743" t="str">
        <f>_xlfn.XLOOKUP('Raw Data'!D743,$V$2:$V$5,$W$2:$W$5,,1)</f>
        <v>19 - 23</v>
      </c>
      <c r="E743">
        <v>2017</v>
      </c>
      <c r="F743" t="str">
        <f>_xlfn.XLOOKUP('Raw Data'!F743,$Q$2:$Q$9,$R$2:$R$9,,1)</f>
        <v>5 - 10</v>
      </c>
      <c r="G743">
        <v>494.55</v>
      </c>
    </row>
    <row r="744" spans="1:7" x14ac:dyDescent="0.25">
      <c r="A744" t="str">
        <f>_xlfn.XLOOKUP('Raw Data'!A744,$M$2:$M$11,$N$2:$N$11,,1)</f>
        <v>23 - 28</v>
      </c>
      <c r="B744" t="str">
        <f>_xlfn.XLOOKUP('Raw Data'!B744,$Q$2:$Q$9,$R$2:$R$9,,1)</f>
        <v>5 - 10</v>
      </c>
      <c r="C744">
        <v>3</v>
      </c>
      <c r="D744" t="str">
        <f>_xlfn.XLOOKUP('Raw Data'!D744,$V$2:$V$5,$W$2:$W$5,,1)</f>
        <v>15 - 19</v>
      </c>
      <c r="E744">
        <v>1998</v>
      </c>
      <c r="F744" t="str">
        <f>_xlfn.XLOOKUP('Raw Data'!F744,$Q$2:$Q$9,$R$2:$R$9,,1)</f>
        <v>25 - 30</v>
      </c>
      <c r="G744">
        <v>499.4</v>
      </c>
    </row>
    <row r="745" spans="1:7" x14ac:dyDescent="0.25">
      <c r="A745" t="str">
        <f>_xlfn.XLOOKUP('Raw Data'!A745,$M$2:$M$11,$N$2:$N$11,,1)</f>
        <v>33 - 38</v>
      </c>
      <c r="B745" t="str">
        <f>_xlfn.XLOOKUP('Raw Data'!B745,$Q$2:$Q$9,$R$2:$R$9,,1)</f>
        <v>15 - 20</v>
      </c>
      <c r="C745">
        <v>3</v>
      </c>
      <c r="D745" t="str">
        <f>_xlfn.XLOOKUP('Raw Data'!D745,$V$2:$V$5,$W$2:$W$5,,1)</f>
        <v>19 - 23</v>
      </c>
      <c r="E745">
        <v>2017</v>
      </c>
      <c r="F745" t="str">
        <f>_xlfn.XLOOKUP('Raw Data'!F745,$Q$2:$Q$9,$R$2:$R$9,,1)</f>
        <v>5 - 10</v>
      </c>
      <c r="G745">
        <v>493.65</v>
      </c>
    </row>
    <row r="746" spans="1:7" x14ac:dyDescent="0.25">
      <c r="A746" t="str">
        <f>_xlfn.XLOOKUP('Raw Data'!A746,$M$2:$M$11,$N$2:$N$11,,1)</f>
        <v>38 - 43</v>
      </c>
      <c r="B746" t="str">
        <f>_xlfn.XLOOKUP('Raw Data'!B746,$Q$2:$Q$9,$R$2:$R$9,,1)</f>
        <v>20 - 25</v>
      </c>
      <c r="C746">
        <v>2</v>
      </c>
      <c r="D746" t="str">
        <f>_xlfn.XLOOKUP('Raw Data'!D746,$V$2:$V$5,$W$2:$W$5,,1)</f>
        <v>11 - 15</v>
      </c>
      <c r="E746">
        <v>1995</v>
      </c>
      <c r="F746" t="str">
        <f>_xlfn.XLOOKUP('Raw Data'!F746,$Q$2:$Q$9,$R$2:$R$9,,1)</f>
        <v>25 - 30</v>
      </c>
      <c r="G746">
        <v>490.55</v>
      </c>
    </row>
    <row r="747" spans="1:7" x14ac:dyDescent="0.25">
      <c r="A747" t="str">
        <f>_xlfn.XLOOKUP('Raw Data'!A747,$M$2:$M$11,$N$2:$N$11,,1)</f>
        <v>38 - 43</v>
      </c>
      <c r="B747" t="str">
        <f>_xlfn.XLOOKUP('Raw Data'!B747,$Q$2:$Q$9,$R$2:$R$9,,1)</f>
        <v>15 - 20</v>
      </c>
      <c r="C747">
        <v>5</v>
      </c>
      <c r="D747" t="str">
        <f>_xlfn.XLOOKUP('Raw Data'!D747,$V$2:$V$5,$W$2:$W$5,,1)</f>
        <v>15 - 19</v>
      </c>
      <c r="E747">
        <v>2018</v>
      </c>
      <c r="F747" t="str">
        <f>_xlfn.XLOOKUP('Raw Data'!F747,$Q$2:$Q$9,$R$2:$R$9,,1)</f>
        <v>5 - 10</v>
      </c>
      <c r="G747">
        <v>495.5</v>
      </c>
    </row>
    <row r="748" spans="1:7" x14ac:dyDescent="0.25">
      <c r="A748" t="str">
        <f>_xlfn.XLOOKUP('Raw Data'!A748,$M$2:$M$11,$N$2:$N$11,,1)</f>
        <v>38 - 43</v>
      </c>
      <c r="B748" t="str">
        <f>_xlfn.XLOOKUP('Raw Data'!B748,$Q$2:$Q$9,$R$2:$R$9,,1)</f>
        <v>20 - 25</v>
      </c>
      <c r="C748">
        <v>5</v>
      </c>
      <c r="D748" t="str">
        <f>_xlfn.XLOOKUP('Raw Data'!D748,$V$2:$V$5,$W$2:$W$5,,1)</f>
        <v>19 - 23</v>
      </c>
      <c r="E748">
        <v>2006</v>
      </c>
      <c r="F748" t="str">
        <f>_xlfn.XLOOKUP('Raw Data'!F748,$Q$2:$Q$9,$R$2:$R$9,,1)</f>
        <v>15 - 20</v>
      </c>
      <c r="G748">
        <v>496.3</v>
      </c>
    </row>
    <row r="749" spans="1:7" x14ac:dyDescent="0.25">
      <c r="A749" t="str">
        <f>_xlfn.XLOOKUP('Raw Data'!A749,$M$2:$M$11,$N$2:$N$11,,1)</f>
        <v>43 - 48</v>
      </c>
      <c r="B749" t="str">
        <f>_xlfn.XLOOKUP('Raw Data'!B749,$Q$2:$Q$9,$R$2:$R$9,,1)</f>
        <v>25 - 30</v>
      </c>
      <c r="C749">
        <v>3</v>
      </c>
      <c r="D749" t="str">
        <f>_xlfn.XLOOKUP('Raw Data'!D749,$V$2:$V$5,$W$2:$W$5,,1)</f>
        <v>19 - 23</v>
      </c>
      <c r="E749">
        <v>2005</v>
      </c>
      <c r="F749" t="str">
        <f>_xlfn.XLOOKUP('Raw Data'!F749,$Q$2:$Q$9,$R$2:$R$9,,1)</f>
        <v>15 - 20</v>
      </c>
      <c r="G749">
        <v>490.9</v>
      </c>
    </row>
    <row r="750" spans="1:7" x14ac:dyDescent="0.25">
      <c r="A750" t="str">
        <f>_xlfn.XLOOKUP('Raw Data'!A750,$M$2:$M$11,$N$2:$N$11,,1)</f>
        <v>28 - 33</v>
      </c>
      <c r="B750" t="str">
        <f>_xlfn.XLOOKUP('Raw Data'!B750,$Q$2:$Q$9,$R$2:$R$9,,1)</f>
        <v>10 - 15</v>
      </c>
      <c r="C750">
        <v>2</v>
      </c>
      <c r="D750" t="str">
        <f>_xlfn.XLOOKUP('Raw Data'!D750,$V$2:$V$5,$W$2:$W$5,,1)</f>
        <v>23 - 27</v>
      </c>
      <c r="E750">
        <v>2012</v>
      </c>
      <c r="F750" t="str">
        <f>_xlfn.XLOOKUP('Raw Data'!F750,$Q$2:$Q$9,$R$2:$R$9,,1)</f>
        <v>10 - 15</v>
      </c>
      <c r="G750">
        <v>495.9</v>
      </c>
    </row>
    <row r="751" spans="1:7" x14ac:dyDescent="0.25">
      <c r="A751" t="str">
        <f>_xlfn.XLOOKUP('Raw Data'!A751,$M$2:$M$11,$N$2:$N$11,,1)</f>
        <v>48 - 53</v>
      </c>
      <c r="B751" t="str">
        <f>_xlfn.XLOOKUP('Raw Data'!B751,$Q$2:$Q$9,$R$2:$R$9,,1)</f>
        <v>5 - 10</v>
      </c>
      <c r="C751">
        <v>0</v>
      </c>
      <c r="D751" t="str">
        <f>_xlfn.XLOOKUP('Raw Data'!D751,$V$2:$V$5,$W$2:$W$5,,1)</f>
        <v>11 - 15</v>
      </c>
      <c r="E751">
        <v>2020</v>
      </c>
      <c r="F751" t="str">
        <f>_xlfn.XLOOKUP('Raw Data'!F751,$Q$2:$Q$9,$R$2:$R$9,,1)</f>
        <v>0 - 5</v>
      </c>
      <c r="G751">
        <v>488.25</v>
      </c>
    </row>
    <row r="752" spans="1:7" x14ac:dyDescent="0.25">
      <c r="A752" t="str">
        <f>_xlfn.XLOOKUP('Raw Data'!A752,$M$2:$M$11,$N$2:$N$11,,1)</f>
        <v>48 - 53</v>
      </c>
      <c r="B752" t="str">
        <f>_xlfn.XLOOKUP('Raw Data'!B752,$Q$2:$Q$9,$R$2:$R$9,,1)</f>
        <v>20 - 25</v>
      </c>
      <c r="C752">
        <v>1</v>
      </c>
      <c r="D752" t="str">
        <f>_xlfn.XLOOKUP('Raw Data'!D752,$V$2:$V$5,$W$2:$W$5,,1)</f>
        <v>19 - 23</v>
      </c>
      <c r="E752">
        <v>1992</v>
      </c>
      <c r="F752" t="str">
        <f>_xlfn.XLOOKUP('Raw Data'!F752,$Q$2:$Q$9,$R$2:$R$9,,1)</f>
        <v>30 - 35</v>
      </c>
      <c r="G752">
        <v>488.5</v>
      </c>
    </row>
    <row r="753" spans="1:7" x14ac:dyDescent="0.25">
      <c r="A753" t="str">
        <f>_xlfn.XLOOKUP('Raw Data'!A753,$M$2:$M$11,$N$2:$N$11,,1)</f>
        <v>53 - 58</v>
      </c>
      <c r="B753" t="str">
        <f>_xlfn.XLOOKUP('Raw Data'!B753,$Q$2:$Q$9,$R$2:$R$9,,1)</f>
        <v>30 - 35</v>
      </c>
      <c r="C753">
        <v>4</v>
      </c>
      <c r="D753" t="str">
        <f>_xlfn.XLOOKUP('Raw Data'!D753,$V$2:$V$5,$W$2:$W$5,,1)</f>
        <v>11 - 15</v>
      </c>
      <c r="E753">
        <v>2010</v>
      </c>
      <c r="F753" t="str">
        <f>_xlfn.XLOOKUP('Raw Data'!F753,$Q$2:$Q$9,$R$2:$R$9,,1)</f>
        <v>10 - 15</v>
      </c>
      <c r="G753">
        <v>486.9</v>
      </c>
    </row>
    <row r="754" spans="1:7" x14ac:dyDescent="0.25">
      <c r="A754" t="str">
        <f>_xlfn.XLOOKUP('Raw Data'!A754,$M$2:$M$11,$N$2:$N$11,,1)</f>
        <v>48 - 53</v>
      </c>
      <c r="B754" t="str">
        <f>_xlfn.XLOOKUP('Raw Data'!B754,$Q$2:$Q$9,$R$2:$R$9,,1)</f>
        <v>30 - 35</v>
      </c>
      <c r="C754">
        <v>0</v>
      </c>
      <c r="D754" t="str">
        <f>_xlfn.XLOOKUP('Raw Data'!D754,$V$2:$V$5,$W$2:$W$5,,1)</f>
        <v>15 - 19</v>
      </c>
      <c r="E754">
        <v>2015</v>
      </c>
      <c r="F754" t="str">
        <f>_xlfn.XLOOKUP('Raw Data'!F754,$Q$2:$Q$9,$R$2:$R$9,,1)</f>
        <v>5 - 10</v>
      </c>
      <c r="G754">
        <v>481.35</v>
      </c>
    </row>
    <row r="755" spans="1:7" x14ac:dyDescent="0.25">
      <c r="A755" t="str">
        <f>_xlfn.XLOOKUP('Raw Data'!A755,$M$2:$M$11,$N$2:$N$11,,1)</f>
        <v>18 - 23</v>
      </c>
      <c r="B755" t="str">
        <f>_xlfn.XLOOKUP('Raw Data'!B755,$Q$2:$Q$9,$R$2:$R$9,,1)</f>
        <v>0 - 5</v>
      </c>
      <c r="C755">
        <v>3</v>
      </c>
      <c r="D755" t="str">
        <f>_xlfn.XLOOKUP('Raw Data'!D755,$V$2:$V$5,$W$2:$W$5,,1)</f>
        <v>15 - 19</v>
      </c>
      <c r="E755">
        <v>2025</v>
      </c>
      <c r="F755" t="str">
        <f>_xlfn.XLOOKUP('Raw Data'!F755,$Q$2:$Q$9,$R$2:$R$9,,1)</f>
        <v>0 - 5</v>
      </c>
      <c r="G755">
        <v>501.8</v>
      </c>
    </row>
    <row r="756" spans="1:7" x14ac:dyDescent="0.25">
      <c r="A756" t="str">
        <f>_xlfn.XLOOKUP('Raw Data'!A756,$M$2:$M$11,$N$2:$N$11,,1)</f>
        <v>33 - 38</v>
      </c>
      <c r="B756" t="str">
        <f>_xlfn.XLOOKUP('Raw Data'!B756,$Q$2:$Q$9,$R$2:$R$9,,1)</f>
        <v>5 - 10</v>
      </c>
      <c r="C756">
        <v>4</v>
      </c>
      <c r="D756" t="str">
        <f>_xlfn.XLOOKUP('Raw Data'!D756,$V$2:$V$5,$W$2:$W$5,,1)</f>
        <v>11 - 15</v>
      </c>
      <c r="E756">
        <v>2011</v>
      </c>
      <c r="F756" t="str">
        <f>_xlfn.XLOOKUP('Raw Data'!F756,$Q$2:$Q$9,$R$2:$R$9,,1)</f>
        <v>10 - 15</v>
      </c>
      <c r="G756">
        <v>498.35</v>
      </c>
    </row>
    <row r="757" spans="1:7" x14ac:dyDescent="0.25">
      <c r="A757" t="str">
        <f>_xlfn.XLOOKUP('Raw Data'!A757,$M$2:$M$11,$N$2:$N$11,,1)</f>
        <v>63 - 68</v>
      </c>
      <c r="B757" t="str">
        <f>_xlfn.XLOOKUP('Raw Data'!B757,$Q$2:$Q$9,$R$2:$R$9,,1)</f>
        <v>5 - 10</v>
      </c>
      <c r="C757">
        <v>1</v>
      </c>
      <c r="D757" t="str">
        <f>_xlfn.XLOOKUP('Raw Data'!D757,$V$2:$V$5,$W$2:$W$5,,1)</f>
        <v>15 - 19</v>
      </c>
      <c r="E757">
        <v>2001</v>
      </c>
      <c r="F757" t="str">
        <f>_xlfn.XLOOKUP('Raw Data'!F757,$Q$2:$Q$9,$R$2:$R$9,,1)</f>
        <v>20 - 25</v>
      </c>
      <c r="G757">
        <v>488.8</v>
      </c>
    </row>
    <row r="758" spans="1:7" x14ac:dyDescent="0.25">
      <c r="A758" t="str">
        <f>_xlfn.XLOOKUP('Raw Data'!A758,$M$2:$M$11,$N$2:$N$11,,1)</f>
        <v>18 - 23</v>
      </c>
      <c r="B758" t="str">
        <f>_xlfn.XLOOKUP('Raw Data'!B758,$Q$2:$Q$9,$R$2:$R$9,,1)</f>
        <v>0 - 5</v>
      </c>
      <c r="C758">
        <v>1</v>
      </c>
      <c r="D758" t="str">
        <f>_xlfn.XLOOKUP('Raw Data'!D758,$V$2:$V$5,$W$2:$W$5,,1)</f>
        <v>23 - 27</v>
      </c>
      <c r="E758">
        <v>2002</v>
      </c>
      <c r="F758" t="str">
        <f>_xlfn.XLOOKUP('Raw Data'!F758,$Q$2:$Q$9,$R$2:$R$9,,1)</f>
        <v>20 - 25</v>
      </c>
      <c r="G758">
        <v>498.9</v>
      </c>
    </row>
    <row r="759" spans="1:7" x14ac:dyDescent="0.25">
      <c r="A759" t="str">
        <f>_xlfn.XLOOKUP('Raw Data'!A759,$M$2:$M$11,$N$2:$N$11,,1)</f>
        <v>43 - 48</v>
      </c>
      <c r="B759" t="str">
        <f>_xlfn.XLOOKUP('Raw Data'!B759,$Q$2:$Q$9,$R$2:$R$9,,1)</f>
        <v>20 - 25</v>
      </c>
      <c r="C759">
        <v>2</v>
      </c>
      <c r="D759" t="str">
        <f>_xlfn.XLOOKUP('Raw Data'!D759,$V$2:$V$5,$W$2:$W$5,,1)</f>
        <v>15 - 19</v>
      </c>
      <c r="E759">
        <v>2000</v>
      </c>
      <c r="F759" t="str">
        <f>_xlfn.XLOOKUP('Raw Data'!F759,$Q$2:$Q$9,$R$2:$R$9,,1)</f>
        <v>20 - 25</v>
      </c>
      <c r="G759">
        <v>490.55</v>
      </c>
    </row>
    <row r="760" spans="1:7" x14ac:dyDescent="0.25">
      <c r="A760" t="str">
        <f>_xlfn.XLOOKUP('Raw Data'!A760,$M$2:$M$11,$N$2:$N$11,,1)</f>
        <v>33 - 38</v>
      </c>
      <c r="B760" t="str">
        <f>_xlfn.XLOOKUP('Raw Data'!B760,$Q$2:$Q$9,$R$2:$R$9,,1)</f>
        <v>15 - 20</v>
      </c>
      <c r="C760">
        <v>4</v>
      </c>
      <c r="D760" t="str">
        <f>_xlfn.XLOOKUP('Raw Data'!D760,$V$2:$V$5,$W$2:$W$5,,1)</f>
        <v>23 - 27</v>
      </c>
      <c r="E760">
        <v>2005</v>
      </c>
      <c r="F760" t="str">
        <f>_xlfn.XLOOKUP('Raw Data'!F760,$Q$2:$Q$9,$R$2:$R$9,,1)</f>
        <v>15 - 20</v>
      </c>
      <c r="G760">
        <v>497.6</v>
      </c>
    </row>
    <row r="761" spans="1:7" x14ac:dyDescent="0.25">
      <c r="A761" t="str">
        <f>_xlfn.XLOOKUP('Raw Data'!A761,$M$2:$M$11,$N$2:$N$11,,1)</f>
        <v>18 - 23</v>
      </c>
      <c r="B761" t="str">
        <f>_xlfn.XLOOKUP('Raw Data'!B761,$Q$2:$Q$9,$R$2:$R$9,,1)</f>
        <v>0 - 5</v>
      </c>
      <c r="C761">
        <v>2</v>
      </c>
      <c r="D761" t="str">
        <f>_xlfn.XLOOKUP('Raw Data'!D761,$V$2:$V$5,$W$2:$W$5,,1)</f>
        <v>23 - 27</v>
      </c>
      <c r="E761">
        <v>1997</v>
      </c>
      <c r="F761" t="str">
        <f>_xlfn.XLOOKUP('Raw Data'!F761,$Q$2:$Q$9,$R$2:$R$9,,1)</f>
        <v>25 - 30</v>
      </c>
      <c r="G761">
        <v>501.45</v>
      </c>
    </row>
    <row r="762" spans="1:7" x14ac:dyDescent="0.25">
      <c r="A762" t="str">
        <f>_xlfn.XLOOKUP('Raw Data'!A762,$M$2:$M$11,$N$2:$N$11,,1)</f>
        <v>43 - 48</v>
      </c>
      <c r="B762" t="str">
        <f>_xlfn.XLOOKUP('Raw Data'!B762,$Q$2:$Q$9,$R$2:$R$9,,1)</f>
        <v>10 - 15</v>
      </c>
      <c r="C762">
        <v>0</v>
      </c>
      <c r="D762" t="str">
        <f>_xlfn.XLOOKUP('Raw Data'!D762,$V$2:$V$5,$W$2:$W$5,,1)</f>
        <v>11 - 15</v>
      </c>
      <c r="E762">
        <v>1991</v>
      </c>
      <c r="F762" t="str">
        <f>_xlfn.XLOOKUP('Raw Data'!F762,$Q$2:$Q$9,$R$2:$R$9,,1)</f>
        <v>30 - 35</v>
      </c>
      <c r="G762">
        <v>491.15</v>
      </c>
    </row>
    <row r="763" spans="1:7" x14ac:dyDescent="0.25">
      <c r="A763" t="str">
        <f>_xlfn.XLOOKUP('Raw Data'!A763,$M$2:$M$11,$N$2:$N$11,,1)</f>
        <v>18 - 23</v>
      </c>
      <c r="B763" t="str">
        <f>_xlfn.XLOOKUP('Raw Data'!B763,$Q$2:$Q$9,$R$2:$R$9,,1)</f>
        <v>0 - 5</v>
      </c>
      <c r="C763">
        <v>5</v>
      </c>
      <c r="D763" t="str">
        <f>_xlfn.XLOOKUP('Raw Data'!D763,$V$2:$V$5,$W$2:$W$5,,1)</f>
        <v>11 - 15</v>
      </c>
      <c r="E763">
        <v>2019</v>
      </c>
      <c r="F763" t="str">
        <f>_xlfn.XLOOKUP('Raw Data'!F763,$Q$2:$Q$9,$R$2:$R$9,,1)</f>
        <v>5 - 10</v>
      </c>
      <c r="G763">
        <v>503.15</v>
      </c>
    </row>
    <row r="764" spans="1:7" x14ac:dyDescent="0.25">
      <c r="A764" t="str">
        <f>_xlfn.XLOOKUP('Raw Data'!A764,$M$2:$M$11,$N$2:$N$11,,1)</f>
        <v>53 - 58</v>
      </c>
      <c r="B764" t="str">
        <f>_xlfn.XLOOKUP('Raw Data'!B764,$Q$2:$Q$9,$R$2:$R$9,,1)</f>
        <v>10 - 15</v>
      </c>
      <c r="C764">
        <v>5</v>
      </c>
      <c r="D764" t="str">
        <f>_xlfn.XLOOKUP('Raw Data'!D764,$V$2:$V$5,$W$2:$W$5,,1)</f>
        <v>11 - 15</v>
      </c>
      <c r="E764">
        <v>2019</v>
      </c>
      <c r="F764" t="str">
        <f>_xlfn.XLOOKUP('Raw Data'!F764,$Q$2:$Q$9,$R$2:$R$9,,1)</f>
        <v>5 - 10</v>
      </c>
      <c r="G764">
        <v>493.5</v>
      </c>
    </row>
    <row r="765" spans="1:7" x14ac:dyDescent="0.25">
      <c r="A765" t="str">
        <f>_xlfn.XLOOKUP('Raw Data'!A765,$M$2:$M$11,$N$2:$N$11,,1)</f>
        <v>18 - 23</v>
      </c>
      <c r="B765" t="str">
        <f>_xlfn.XLOOKUP('Raw Data'!B765,$Q$2:$Q$9,$R$2:$R$9,,1)</f>
        <v>0 - 5</v>
      </c>
      <c r="C765">
        <v>5</v>
      </c>
      <c r="D765" t="str">
        <f>_xlfn.XLOOKUP('Raw Data'!D765,$V$2:$V$5,$W$2:$W$5,,1)</f>
        <v>15 - 19</v>
      </c>
      <c r="E765">
        <v>2001</v>
      </c>
      <c r="F765" t="str">
        <f>_xlfn.XLOOKUP('Raw Data'!F765,$Q$2:$Q$9,$R$2:$R$9,,1)</f>
        <v>20 - 25</v>
      </c>
      <c r="G765">
        <v>506.2</v>
      </c>
    </row>
    <row r="766" spans="1:7" x14ac:dyDescent="0.25">
      <c r="A766" t="str">
        <f>_xlfn.XLOOKUP('Raw Data'!A766,$M$2:$M$11,$N$2:$N$11,,1)</f>
        <v>38 - 43</v>
      </c>
      <c r="B766" t="str">
        <f>_xlfn.XLOOKUP('Raw Data'!B766,$Q$2:$Q$9,$R$2:$R$9,,1)</f>
        <v>20 - 25</v>
      </c>
      <c r="C766">
        <v>4</v>
      </c>
      <c r="D766" t="str">
        <f>_xlfn.XLOOKUP('Raw Data'!D766,$V$2:$V$5,$W$2:$W$5,,1)</f>
        <v>19 - 23</v>
      </c>
      <c r="E766">
        <v>1999</v>
      </c>
      <c r="F766" t="str">
        <f>_xlfn.XLOOKUP('Raw Data'!F766,$Q$2:$Q$9,$R$2:$R$9,,1)</f>
        <v>25 - 30</v>
      </c>
      <c r="G766">
        <v>495.3</v>
      </c>
    </row>
    <row r="767" spans="1:7" x14ac:dyDescent="0.25">
      <c r="A767" t="str">
        <f>_xlfn.XLOOKUP('Raw Data'!A767,$M$2:$M$11,$N$2:$N$11,,1)</f>
        <v>53 - 58</v>
      </c>
      <c r="B767" t="str">
        <f>_xlfn.XLOOKUP('Raw Data'!B767,$Q$2:$Q$9,$R$2:$R$9,,1)</f>
        <v>25 - 30</v>
      </c>
      <c r="C767">
        <v>5</v>
      </c>
      <c r="D767" t="str">
        <f>_xlfn.XLOOKUP('Raw Data'!D767,$V$2:$V$5,$W$2:$W$5,,1)</f>
        <v>11 - 15</v>
      </c>
      <c r="E767">
        <v>2000</v>
      </c>
      <c r="F767" t="str">
        <f>_xlfn.XLOOKUP('Raw Data'!F767,$Q$2:$Q$9,$R$2:$R$9,,1)</f>
        <v>20 - 25</v>
      </c>
      <c r="G767">
        <v>491.65</v>
      </c>
    </row>
    <row r="768" spans="1:7" x14ac:dyDescent="0.25">
      <c r="A768" t="str">
        <f>_xlfn.XLOOKUP('Raw Data'!A768,$M$2:$M$11,$N$2:$N$11,,1)</f>
        <v>53 - 58</v>
      </c>
      <c r="B768" t="str">
        <f>_xlfn.XLOOKUP('Raw Data'!B768,$Q$2:$Q$9,$R$2:$R$9,,1)</f>
        <v>15 - 20</v>
      </c>
      <c r="C768">
        <v>0</v>
      </c>
      <c r="D768" t="str">
        <f>_xlfn.XLOOKUP('Raw Data'!D768,$V$2:$V$5,$W$2:$W$5,,1)</f>
        <v>15 - 19</v>
      </c>
      <c r="E768">
        <v>2004</v>
      </c>
      <c r="F768" t="str">
        <f>_xlfn.XLOOKUP('Raw Data'!F768,$Q$2:$Q$9,$R$2:$R$9,,1)</f>
        <v>20 - 25</v>
      </c>
      <c r="G768">
        <v>486.5</v>
      </c>
    </row>
    <row r="769" spans="1:7" x14ac:dyDescent="0.25">
      <c r="A769" t="str">
        <f>_xlfn.XLOOKUP('Raw Data'!A769,$M$2:$M$11,$N$2:$N$11,,1)</f>
        <v>23 - 28</v>
      </c>
      <c r="B769" t="str">
        <f>_xlfn.XLOOKUP('Raw Data'!B769,$Q$2:$Q$9,$R$2:$R$9,,1)</f>
        <v>5 - 10</v>
      </c>
      <c r="C769">
        <v>2</v>
      </c>
      <c r="D769" t="str">
        <f>_xlfn.XLOOKUP('Raw Data'!D769,$V$2:$V$5,$W$2:$W$5,,1)</f>
        <v>15 - 19</v>
      </c>
      <c r="E769">
        <v>2005</v>
      </c>
      <c r="F769" t="str">
        <f>_xlfn.XLOOKUP('Raw Data'!F769,$Q$2:$Q$9,$R$2:$R$9,,1)</f>
        <v>15 - 20</v>
      </c>
      <c r="G769">
        <v>497.75</v>
      </c>
    </row>
    <row r="770" spans="1:7" x14ac:dyDescent="0.25">
      <c r="A770" t="str">
        <f>_xlfn.XLOOKUP('Raw Data'!A770,$M$2:$M$11,$N$2:$N$11,,1)</f>
        <v>23 - 28</v>
      </c>
      <c r="B770" t="str">
        <f>_xlfn.XLOOKUP('Raw Data'!B770,$Q$2:$Q$9,$R$2:$R$9,,1)</f>
        <v>5 - 10</v>
      </c>
      <c r="C770">
        <v>4</v>
      </c>
      <c r="D770" t="str">
        <f>_xlfn.XLOOKUP('Raw Data'!D770,$V$2:$V$5,$W$2:$W$5,,1)</f>
        <v>23 - 27</v>
      </c>
      <c r="E770">
        <v>2006</v>
      </c>
      <c r="F770" t="str">
        <f>_xlfn.XLOOKUP('Raw Data'!F770,$Q$2:$Q$9,$R$2:$R$9,,1)</f>
        <v>15 - 20</v>
      </c>
      <c r="G770">
        <v>501</v>
      </c>
    </row>
    <row r="771" spans="1:7" x14ac:dyDescent="0.25">
      <c r="A771" t="str">
        <f>_xlfn.XLOOKUP('Raw Data'!A771,$M$2:$M$11,$N$2:$N$11,,1)</f>
        <v>33 - 38</v>
      </c>
      <c r="B771" t="str">
        <f>_xlfn.XLOOKUP('Raw Data'!B771,$Q$2:$Q$9,$R$2:$R$9,,1)</f>
        <v>15 - 20</v>
      </c>
      <c r="C771">
        <v>2</v>
      </c>
      <c r="D771" t="str">
        <f>_xlfn.XLOOKUP('Raw Data'!D771,$V$2:$V$5,$W$2:$W$5,,1)</f>
        <v>15 - 19</v>
      </c>
      <c r="E771">
        <v>2015</v>
      </c>
      <c r="F771" t="str">
        <f>_xlfn.XLOOKUP('Raw Data'!F771,$Q$2:$Q$9,$R$2:$R$9,,1)</f>
        <v>5 - 10</v>
      </c>
      <c r="G771">
        <v>492.25</v>
      </c>
    </row>
    <row r="772" spans="1:7" x14ac:dyDescent="0.25">
      <c r="A772" t="str">
        <f>_xlfn.XLOOKUP('Raw Data'!A772,$M$2:$M$11,$N$2:$N$11,,1)</f>
        <v>33 - 38</v>
      </c>
      <c r="B772" t="str">
        <f>_xlfn.XLOOKUP('Raw Data'!B772,$Q$2:$Q$9,$R$2:$R$9,,1)</f>
        <v>15 - 20</v>
      </c>
      <c r="C772">
        <v>4</v>
      </c>
      <c r="D772" t="str">
        <f>_xlfn.XLOOKUP('Raw Data'!D772,$V$2:$V$5,$W$2:$W$5,,1)</f>
        <v>11 - 15</v>
      </c>
      <c r="E772">
        <v>1991</v>
      </c>
      <c r="F772" t="str">
        <f>_xlfn.XLOOKUP('Raw Data'!F772,$Q$2:$Q$9,$R$2:$R$9,,1)</f>
        <v>30 - 35</v>
      </c>
      <c r="G772">
        <v>498.45</v>
      </c>
    </row>
    <row r="773" spans="1:7" x14ac:dyDescent="0.25">
      <c r="A773" t="str">
        <f>_xlfn.XLOOKUP('Raw Data'!A773,$M$2:$M$11,$N$2:$N$11,,1)</f>
        <v>33 - 38</v>
      </c>
      <c r="B773" t="str">
        <f>_xlfn.XLOOKUP('Raw Data'!B773,$Q$2:$Q$9,$R$2:$R$9,,1)</f>
        <v>15 - 20</v>
      </c>
      <c r="C773">
        <v>2</v>
      </c>
      <c r="D773" t="str">
        <f>_xlfn.XLOOKUP('Raw Data'!D773,$V$2:$V$5,$W$2:$W$5,,1)</f>
        <v>11 - 15</v>
      </c>
      <c r="E773">
        <v>2001</v>
      </c>
      <c r="F773" t="str">
        <f>_xlfn.XLOOKUP('Raw Data'!F773,$Q$2:$Q$9,$R$2:$R$9,,1)</f>
        <v>20 - 25</v>
      </c>
      <c r="G773">
        <v>492.35</v>
      </c>
    </row>
    <row r="774" spans="1:7" x14ac:dyDescent="0.25">
      <c r="A774" t="str">
        <f>_xlfn.XLOOKUP('Raw Data'!A774,$M$2:$M$11,$N$2:$N$11,,1)</f>
        <v>28 - 33</v>
      </c>
      <c r="B774" t="str">
        <f>_xlfn.XLOOKUP('Raw Data'!B774,$Q$2:$Q$9,$R$2:$R$9,,1)</f>
        <v>0 - 5</v>
      </c>
      <c r="C774">
        <v>1</v>
      </c>
      <c r="D774" t="str">
        <f>_xlfn.XLOOKUP('Raw Data'!D774,$V$2:$V$5,$W$2:$W$5,,1)</f>
        <v>11 - 15</v>
      </c>
      <c r="E774">
        <v>2015</v>
      </c>
      <c r="F774" t="str">
        <f>_xlfn.XLOOKUP('Raw Data'!F774,$Q$2:$Q$9,$R$2:$R$9,,1)</f>
        <v>5 - 10</v>
      </c>
      <c r="G774">
        <v>496.7</v>
      </c>
    </row>
    <row r="775" spans="1:7" x14ac:dyDescent="0.25">
      <c r="A775" t="str">
        <f>_xlfn.XLOOKUP('Raw Data'!A775,$M$2:$M$11,$N$2:$N$11,,1)</f>
        <v>23 - 28</v>
      </c>
      <c r="B775" t="str">
        <f>_xlfn.XLOOKUP('Raw Data'!B775,$Q$2:$Q$9,$R$2:$R$9,,1)</f>
        <v>5 - 10</v>
      </c>
      <c r="C775">
        <v>2</v>
      </c>
      <c r="D775" t="str">
        <f>_xlfn.XLOOKUP('Raw Data'!D775,$V$2:$V$5,$W$2:$W$5,,1)</f>
        <v>15 - 19</v>
      </c>
      <c r="E775">
        <v>2012</v>
      </c>
      <c r="F775" t="str">
        <f>_xlfn.XLOOKUP('Raw Data'!F775,$Q$2:$Q$9,$R$2:$R$9,,1)</f>
        <v>10 - 15</v>
      </c>
      <c r="G775">
        <v>497.65</v>
      </c>
    </row>
    <row r="776" spans="1:7" x14ac:dyDescent="0.25">
      <c r="A776" t="str">
        <f>_xlfn.XLOOKUP('Raw Data'!A776,$M$2:$M$11,$N$2:$N$11,,1)</f>
        <v>58 - 63</v>
      </c>
      <c r="B776" t="str">
        <f>_xlfn.XLOOKUP('Raw Data'!B776,$Q$2:$Q$9,$R$2:$R$9,,1)</f>
        <v>30 - 35</v>
      </c>
      <c r="C776">
        <v>5</v>
      </c>
      <c r="D776" t="str">
        <f>_xlfn.XLOOKUP('Raw Data'!D776,$V$2:$V$5,$W$2:$W$5,,1)</f>
        <v>11 - 15</v>
      </c>
      <c r="E776">
        <v>2007</v>
      </c>
      <c r="F776" t="str">
        <f>_xlfn.XLOOKUP('Raw Data'!F776,$Q$2:$Q$9,$R$2:$R$9,,1)</f>
        <v>15 - 20</v>
      </c>
      <c r="G776">
        <v>487.85</v>
      </c>
    </row>
    <row r="777" spans="1:7" x14ac:dyDescent="0.25">
      <c r="A777" t="str">
        <f>_xlfn.XLOOKUP('Raw Data'!A777,$M$2:$M$11,$N$2:$N$11,,1)</f>
        <v>18 - 23</v>
      </c>
      <c r="B777" t="str">
        <f>_xlfn.XLOOKUP('Raw Data'!B777,$Q$2:$Q$9,$R$2:$R$9,,1)</f>
        <v>0 - 5</v>
      </c>
      <c r="C777">
        <v>1</v>
      </c>
      <c r="D777" t="str">
        <f>_xlfn.XLOOKUP('Raw Data'!D777,$V$2:$V$5,$W$2:$W$5,,1)</f>
        <v>11 - 15</v>
      </c>
      <c r="E777">
        <v>2021</v>
      </c>
      <c r="F777" t="str">
        <f>_xlfn.XLOOKUP('Raw Data'!F777,$Q$2:$Q$9,$R$2:$R$9,,1)</f>
        <v>0 - 5</v>
      </c>
      <c r="G777">
        <v>498.85</v>
      </c>
    </row>
    <row r="778" spans="1:7" x14ac:dyDescent="0.25">
      <c r="A778" t="str">
        <f>_xlfn.XLOOKUP('Raw Data'!A778,$M$2:$M$11,$N$2:$N$11,,1)</f>
        <v>58 - 63</v>
      </c>
      <c r="B778" t="str">
        <f>_xlfn.XLOOKUP('Raw Data'!B778,$Q$2:$Q$9,$R$2:$R$9,,1)</f>
        <v>10 - 15</v>
      </c>
      <c r="C778">
        <v>2</v>
      </c>
      <c r="D778" t="str">
        <f>_xlfn.XLOOKUP('Raw Data'!D778,$V$2:$V$5,$W$2:$W$5,,1)</f>
        <v>23 - 27</v>
      </c>
      <c r="E778">
        <v>1992</v>
      </c>
      <c r="F778" t="str">
        <f>_xlfn.XLOOKUP('Raw Data'!F778,$Q$2:$Q$9,$R$2:$R$9,,1)</f>
        <v>30 - 35</v>
      </c>
      <c r="G778">
        <v>491.55</v>
      </c>
    </row>
    <row r="779" spans="1:7" x14ac:dyDescent="0.25">
      <c r="A779" t="str">
        <f>_xlfn.XLOOKUP('Raw Data'!A779,$M$2:$M$11,$N$2:$N$11,,1)</f>
        <v>28 - 33</v>
      </c>
      <c r="B779" t="str">
        <f>_xlfn.XLOOKUP('Raw Data'!B779,$Q$2:$Q$9,$R$2:$R$9,,1)</f>
        <v>10 - 15</v>
      </c>
      <c r="C779">
        <v>4</v>
      </c>
      <c r="D779" t="str">
        <f>_xlfn.XLOOKUP('Raw Data'!D779,$V$2:$V$5,$W$2:$W$5,,1)</f>
        <v>11 - 15</v>
      </c>
      <c r="E779">
        <v>1992</v>
      </c>
      <c r="F779" t="str">
        <f>_xlfn.XLOOKUP('Raw Data'!F779,$Q$2:$Q$9,$R$2:$R$9,,1)</f>
        <v>30 - 35</v>
      </c>
      <c r="G779">
        <v>500.45</v>
      </c>
    </row>
    <row r="780" spans="1:7" x14ac:dyDescent="0.25">
      <c r="A780" t="str">
        <f>_xlfn.XLOOKUP('Raw Data'!A780,$M$2:$M$11,$N$2:$N$11,,1)</f>
        <v>18 - 23</v>
      </c>
      <c r="B780" t="str">
        <f>_xlfn.XLOOKUP('Raw Data'!B780,$Q$2:$Q$9,$R$2:$R$9,,1)</f>
        <v>0 - 5</v>
      </c>
      <c r="C780">
        <v>4</v>
      </c>
      <c r="D780" t="str">
        <f>_xlfn.XLOOKUP('Raw Data'!D780,$V$2:$V$5,$W$2:$W$5,,1)</f>
        <v>19 - 23</v>
      </c>
      <c r="E780">
        <v>2019</v>
      </c>
      <c r="F780" t="str">
        <f>_xlfn.XLOOKUP('Raw Data'!F780,$Q$2:$Q$9,$R$2:$R$9,,1)</f>
        <v>5 - 10</v>
      </c>
      <c r="G780">
        <v>502.65</v>
      </c>
    </row>
    <row r="781" spans="1:7" x14ac:dyDescent="0.25">
      <c r="A781" t="str">
        <f>_xlfn.XLOOKUP('Raw Data'!A781,$M$2:$M$11,$N$2:$N$11,,1)</f>
        <v>18 - 23</v>
      </c>
      <c r="B781" t="str">
        <f>_xlfn.XLOOKUP('Raw Data'!B781,$Q$2:$Q$9,$R$2:$R$9,,1)</f>
        <v>0 - 5</v>
      </c>
      <c r="C781">
        <v>4</v>
      </c>
      <c r="D781" t="str">
        <f>_xlfn.XLOOKUP('Raw Data'!D781,$V$2:$V$5,$W$2:$W$5,,1)</f>
        <v>15 - 19</v>
      </c>
      <c r="E781">
        <v>1990</v>
      </c>
      <c r="F781" t="str">
        <f>_xlfn.XLOOKUP('Raw Data'!F781,$Q$2:$Q$9,$R$2:$R$9,,1)</f>
        <v>30 - 35</v>
      </c>
      <c r="G781">
        <v>506.8</v>
      </c>
    </row>
    <row r="782" spans="1:7" x14ac:dyDescent="0.25">
      <c r="A782" t="str">
        <f>_xlfn.XLOOKUP('Raw Data'!A782,$M$2:$M$11,$N$2:$N$11,,1)</f>
        <v>53 - 58</v>
      </c>
      <c r="B782" t="str">
        <f>_xlfn.XLOOKUP('Raw Data'!B782,$Q$2:$Q$9,$R$2:$R$9,,1)</f>
        <v>20 - 25</v>
      </c>
      <c r="C782">
        <v>3</v>
      </c>
      <c r="D782" t="str">
        <f>_xlfn.XLOOKUP('Raw Data'!D782,$V$2:$V$5,$W$2:$W$5,,1)</f>
        <v>15 - 19</v>
      </c>
      <c r="E782">
        <v>2019</v>
      </c>
      <c r="F782" t="str">
        <f>_xlfn.XLOOKUP('Raw Data'!F782,$Q$2:$Q$9,$R$2:$R$9,,1)</f>
        <v>5 - 10</v>
      </c>
      <c r="G782">
        <v>487.1</v>
      </c>
    </row>
    <row r="783" spans="1:7" x14ac:dyDescent="0.25">
      <c r="A783" t="str">
        <f>_xlfn.XLOOKUP('Raw Data'!A783,$M$2:$M$11,$N$2:$N$11,,1)</f>
        <v>48 - 53</v>
      </c>
      <c r="B783" t="str">
        <f>_xlfn.XLOOKUP('Raw Data'!B783,$Q$2:$Q$9,$R$2:$R$9,,1)</f>
        <v>20 - 25</v>
      </c>
      <c r="C783">
        <v>0</v>
      </c>
      <c r="D783" t="str">
        <f>_xlfn.XLOOKUP('Raw Data'!D783,$V$2:$V$5,$W$2:$W$5,,1)</f>
        <v>11 - 15</v>
      </c>
      <c r="E783">
        <v>2021</v>
      </c>
      <c r="F783" t="str">
        <f>_xlfn.XLOOKUP('Raw Data'!F783,$Q$2:$Q$9,$R$2:$R$9,,1)</f>
        <v>0 - 5</v>
      </c>
      <c r="G783">
        <v>485.05</v>
      </c>
    </row>
    <row r="784" spans="1:7" x14ac:dyDescent="0.25">
      <c r="A784" t="str">
        <f>_xlfn.XLOOKUP('Raw Data'!A784,$M$2:$M$11,$N$2:$N$11,,1)</f>
        <v>48 - 53</v>
      </c>
      <c r="B784" t="str">
        <f>_xlfn.XLOOKUP('Raw Data'!B784,$Q$2:$Q$9,$R$2:$R$9,,1)</f>
        <v>30 - 35</v>
      </c>
      <c r="C784">
        <v>4</v>
      </c>
      <c r="D784" t="str">
        <f>_xlfn.XLOOKUP('Raw Data'!D784,$V$2:$V$5,$W$2:$W$5,,1)</f>
        <v>19 - 23</v>
      </c>
      <c r="E784">
        <v>2017</v>
      </c>
      <c r="F784" t="str">
        <f>_xlfn.XLOOKUP('Raw Data'!F784,$Q$2:$Q$9,$R$2:$R$9,,1)</f>
        <v>5 - 10</v>
      </c>
      <c r="G784">
        <v>487.8</v>
      </c>
    </row>
    <row r="785" spans="1:7" x14ac:dyDescent="0.25">
      <c r="A785" t="str">
        <f>_xlfn.XLOOKUP('Raw Data'!A785,$M$2:$M$11,$N$2:$N$11,,1)</f>
        <v>43 - 48</v>
      </c>
      <c r="B785" t="str">
        <f>_xlfn.XLOOKUP('Raw Data'!B785,$Q$2:$Q$9,$R$2:$R$9,,1)</f>
        <v>0 - 5</v>
      </c>
      <c r="C785">
        <v>1</v>
      </c>
      <c r="D785" t="str">
        <f>_xlfn.XLOOKUP('Raw Data'!D785,$V$2:$V$5,$W$2:$W$5,,1)</f>
        <v>15 - 19</v>
      </c>
      <c r="E785">
        <v>2010</v>
      </c>
      <c r="F785" t="str">
        <f>_xlfn.XLOOKUP('Raw Data'!F785,$Q$2:$Q$9,$R$2:$R$9,,1)</f>
        <v>10 - 15</v>
      </c>
      <c r="G785">
        <v>494.65</v>
      </c>
    </row>
    <row r="786" spans="1:7" x14ac:dyDescent="0.25">
      <c r="A786" t="str">
        <f>_xlfn.XLOOKUP('Raw Data'!A786,$M$2:$M$11,$N$2:$N$11,,1)</f>
        <v>43 - 48</v>
      </c>
      <c r="B786" t="str">
        <f>_xlfn.XLOOKUP('Raw Data'!B786,$Q$2:$Q$9,$R$2:$R$9,,1)</f>
        <v>25 - 30</v>
      </c>
      <c r="C786">
        <v>4</v>
      </c>
      <c r="D786" t="str">
        <f>_xlfn.XLOOKUP('Raw Data'!D786,$V$2:$V$5,$W$2:$W$5,,1)</f>
        <v>23 - 27</v>
      </c>
      <c r="E786">
        <v>2002</v>
      </c>
      <c r="F786" t="str">
        <f>_xlfn.XLOOKUP('Raw Data'!F786,$Q$2:$Q$9,$R$2:$R$9,,1)</f>
        <v>20 - 25</v>
      </c>
      <c r="G786">
        <v>490.95</v>
      </c>
    </row>
    <row r="787" spans="1:7" x14ac:dyDescent="0.25">
      <c r="A787" t="str">
        <f>_xlfn.XLOOKUP('Raw Data'!A787,$M$2:$M$11,$N$2:$N$11,,1)</f>
        <v>23 - 28</v>
      </c>
      <c r="B787" t="str">
        <f>_xlfn.XLOOKUP('Raw Data'!B787,$Q$2:$Q$9,$R$2:$R$9,,1)</f>
        <v>5 - 10</v>
      </c>
      <c r="C787">
        <v>3</v>
      </c>
      <c r="D787" t="str">
        <f>_xlfn.XLOOKUP('Raw Data'!D787,$V$2:$V$5,$W$2:$W$5,,1)</f>
        <v>11 - 15</v>
      </c>
      <c r="E787">
        <v>2016</v>
      </c>
      <c r="F787" t="str">
        <f>_xlfn.XLOOKUP('Raw Data'!F787,$Q$2:$Q$9,$R$2:$R$9,,1)</f>
        <v>5 - 10</v>
      </c>
      <c r="G787">
        <v>498.85</v>
      </c>
    </row>
    <row r="788" spans="1:7" x14ac:dyDescent="0.25">
      <c r="A788" t="str">
        <f>_xlfn.XLOOKUP('Raw Data'!A788,$M$2:$M$11,$N$2:$N$11,,1)</f>
        <v>53 - 58</v>
      </c>
      <c r="B788" t="str">
        <f>_xlfn.XLOOKUP('Raw Data'!B788,$Q$2:$Q$9,$R$2:$R$9,,1)</f>
        <v>20 - 25</v>
      </c>
      <c r="C788">
        <v>5</v>
      </c>
      <c r="D788" t="str">
        <f>_xlfn.XLOOKUP('Raw Data'!D788,$V$2:$V$5,$W$2:$W$5,,1)</f>
        <v>11 - 15</v>
      </c>
      <c r="E788">
        <v>2025</v>
      </c>
      <c r="F788" t="str">
        <f>_xlfn.XLOOKUP('Raw Data'!F788,$Q$2:$Q$9,$R$2:$R$9,,1)</f>
        <v>0 - 5</v>
      </c>
      <c r="G788">
        <v>489.5</v>
      </c>
    </row>
    <row r="789" spans="1:7" x14ac:dyDescent="0.25">
      <c r="A789" t="str">
        <f>_xlfn.XLOOKUP('Raw Data'!A789,$M$2:$M$11,$N$2:$N$11,,1)</f>
        <v>38 - 43</v>
      </c>
      <c r="B789" t="str">
        <f>_xlfn.XLOOKUP('Raw Data'!B789,$Q$2:$Q$9,$R$2:$R$9,,1)</f>
        <v>10 - 15</v>
      </c>
      <c r="C789">
        <v>1</v>
      </c>
      <c r="D789" t="str">
        <f>_xlfn.XLOOKUP('Raw Data'!D789,$V$2:$V$5,$W$2:$W$5,,1)</f>
        <v>11 - 15</v>
      </c>
      <c r="E789">
        <v>1996</v>
      </c>
      <c r="F789" t="str">
        <f>_xlfn.XLOOKUP('Raw Data'!F789,$Q$2:$Q$9,$R$2:$R$9,,1)</f>
        <v>25 - 30</v>
      </c>
      <c r="G789">
        <v>492.25</v>
      </c>
    </row>
    <row r="790" spans="1:7" x14ac:dyDescent="0.25">
      <c r="A790" t="str">
        <f>_xlfn.XLOOKUP('Raw Data'!A790,$M$2:$M$11,$N$2:$N$11,,1)</f>
        <v>48 - 53</v>
      </c>
      <c r="B790" t="str">
        <f>_xlfn.XLOOKUP('Raw Data'!B790,$Q$2:$Q$9,$R$2:$R$9,,1)</f>
        <v>30 - 35</v>
      </c>
      <c r="C790">
        <v>3</v>
      </c>
      <c r="D790" t="str">
        <f>_xlfn.XLOOKUP('Raw Data'!D790,$V$2:$V$5,$W$2:$W$5,,1)</f>
        <v>11 - 15</v>
      </c>
      <c r="E790">
        <v>2011</v>
      </c>
      <c r="F790" t="str">
        <f>_xlfn.XLOOKUP('Raw Data'!F790,$Q$2:$Q$9,$R$2:$R$9,,1)</f>
        <v>10 - 15</v>
      </c>
      <c r="G790">
        <v>486.4</v>
      </c>
    </row>
    <row r="791" spans="1:7" x14ac:dyDescent="0.25">
      <c r="A791" t="str">
        <f>_xlfn.XLOOKUP('Raw Data'!A791,$M$2:$M$11,$N$2:$N$11,,1)</f>
        <v>18 - 23</v>
      </c>
      <c r="B791" t="str">
        <f>_xlfn.XLOOKUP('Raw Data'!B791,$Q$2:$Q$9,$R$2:$R$9,,1)</f>
        <v>0 - 5</v>
      </c>
      <c r="C791">
        <v>5</v>
      </c>
      <c r="D791" t="str">
        <f>_xlfn.XLOOKUP('Raw Data'!D791,$V$2:$V$5,$W$2:$W$5,,1)</f>
        <v>23 - 27</v>
      </c>
      <c r="E791">
        <v>1999</v>
      </c>
      <c r="F791" t="str">
        <f>_xlfn.XLOOKUP('Raw Data'!F791,$Q$2:$Q$9,$R$2:$R$9,,1)</f>
        <v>25 - 30</v>
      </c>
      <c r="G791">
        <v>506.75</v>
      </c>
    </row>
    <row r="792" spans="1:7" x14ac:dyDescent="0.25">
      <c r="A792" t="str">
        <f>_xlfn.XLOOKUP('Raw Data'!A792,$M$2:$M$11,$N$2:$N$11,,1)</f>
        <v>28 - 33</v>
      </c>
      <c r="B792" t="str">
        <f>_xlfn.XLOOKUP('Raw Data'!B792,$Q$2:$Q$9,$R$2:$R$9,,1)</f>
        <v>5 - 10</v>
      </c>
      <c r="C792">
        <v>1</v>
      </c>
      <c r="D792" t="str">
        <f>_xlfn.XLOOKUP('Raw Data'!D792,$V$2:$V$5,$W$2:$W$5,,1)</f>
        <v>15 - 19</v>
      </c>
      <c r="E792">
        <v>2004</v>
      </c>
      <c r="F792" t="str">
        <f>_xlfn.XLOOKUP('Raw Data'!F792,$Q$2:$Q$9,$R$2:$R$9,,1)</f>
        <v>20 - 25</v>
      </c>
      <c r="G792">
        <v>495.7</v>
      </c>
    </row>
    <row r="793" spans="1:7" x14ac:dyDescent="0.25">
      <c r="A793" t="str">
        <f>_xlfn.XLOOKUP('Raw Data'!A793,$M$2:$M$11,$N$2:$N$11,,1)</f>
        <v>18 - 23</v>
      </c>
      <c r="B793" t="str">
        <f>_xlfn.XLOOKUP('Raw Data'!B793,$Q$2:$Q$9,$R$2:$R$9,,1)</f>
        <v>0 - 5</v>
      </c>
      <c r="C793">
        <v>2</v>
      </c>
      <c r="D793" t="str">
        <f>_xlfn.XLOOKUP('Raw Data'!D793,$V$2:$V$5,$W$2:$W$5,,1)</f>
        <v>15 - 19</v>
      </c>
      <c r="E793">
        <v>2004</v>
      </c>
      <c r="F793" t="str">
        <f>_xlfn.XLOOKUP('Raw Data'!F793,$Q$2:$Q$9,$R$2:$R$9,,1)</f>
        <v>20 - 25</v>
      </c>
      <c r="G793">
        <v>502.35</v>
      </c>
    </row>
    <row r="794" spans="1:7" x14ac:dyDescent="0.25">
      <c r="A794" t="str">
        <f>_xlfn.XLOOKUP('Raw Data'!A794,$M$2:$M$11,$N$2:$N$11,,1)</f>
        <v>58 - 63</v>
      </c>
      <c r="B794" t="str">
        <f>_xlfn.XLOOKUP('Raw Data'!B794,$Q$2:$Q$9,$R$2:$R$9,,1)</f>
        <v>0 - 5</v>
      </c>
      <c r="C794">
        <v>0</v>
      </c>
      <c r="D794" t="str">
        <f>_xlfn.XLOOKUP('Raw Data'!D794,$V$2:$V$5,$W$2:$W$5,,1)</f>
        <v>15 - 19</v>
      </c>
      <c r="E794">
        <v>1993</v>
      </c>
      <c r="F794" t="str">
        <f>_xlfn.XLOOKUP('Raw Data'!F794,$Q$2:$Q$9,$R$2:$R$9,,1)</f>
        <v>30 - 35</v>
      </c>
      <c r="G794">
        <v>490.45</v>
      </c>
    </row>
    <row r="795" spans="1:7" x14ac:dyDescent="0.25">
      <c r="A795" t="str">
        <f>_xlfn.XLOOKUP('Raw Data'!A795,$M$2:$M$11,$N$2:$N$11,,1)</f>
        <v>18 - 23</v>
      </c>
      <c r="B795" t="str">
        <f>_xlfn.XLOOKUP('Raw Data'!B795,$Q$2:$Q$9,$R$2:$R$9,,1)</f>
        <v>0 - 5</v>
      </c>
      <c r="C795">
        <v>0</v>
      </c>
      <c r="D795" t="str">
        <f>_xlfn.XLOOKUP('Raw Data'!D795,$V$2:$V$5,$W$2:$W$5,,1)</f>
        <v>11 - 15</v>
      </c>
      <c r="E795">
        <v>2021</v>
      </c>
      <c r="F795" t="str">
        <f>_xlfn.XLOOKUP('Raw Data'!F795,$Q$2:$Q$9,$R$2:$R$9,,1)</f>
        <v>0 - 5</v>
      </c>
      <c r="G795">
        <v>495.4</v>
      </c>
    </row>
    <row r="796" spans="1:7" x14ac:dyDescent="0.25">
      <c r="A796" t="str">
        <f>_xlfn.XLOOKUP('Raw Data'!A796,$M$2:$M$11,$N$2:$N$11,,1)</f>
        <v>43 - 48</v>
      </c>
      <c r="B796" t="str">
        <f>_xlfn.XLOOKUP('Raw Data'!B796,$Q$2:$Q$9,$R$2:$R$9,,1)</f>
        <v>0 - 5</v>
      </c>
      <c r="C796">
        <v>3</v>
      </c>
      <c r="D796" t="str">
        <f>_xlfn.XLOOKUP('Raw Data'!D796,$V$2:$V$5,$W$2:$W$5,,1)</f>
        <v>23 - 27</v>
      </c>
      <c r="E796">
        <v>2012</v>
      </c>
      <c r="F796" t="str">
        <f>_xlfn.XLOOKUP('Raw Data'!F796,$Q$2:$Q$9,$R$2:$R$9,,1)</f>
        <v>10 - 15</v>
      </c>
      <c r="G796">
        <v>496.1</v>
      </c>
    </row>
    <row r="797" spans="1:7" x14ac:dyDescent="0.25">
      <c r="A797" t="str">
        <f>_xlfn.XLOOKUP('Raw Data'!A797,$M$2:$M$11,$N$2:$N$11,,1)</f>
        <v>43 - 48</v>
      </c>
      <c r="B797" t="str">
        <f>_xlfn.XLOOKUP('Raw Data'!B797,$Q$2:$Q$9,$R$2:$R$9,,1)</f>
        <v>5 - 10</v>
      </c>
      <c r="C797">
        <v>5</v>
      </c>
      <c r="D797" t="str">
        <f>_xlfn.XLOOKUP('Raw Data'!D797,$V$2:$V$5,$W$2:$W$5,,1)</f>
        <v>23 - 27</v>
      </c>
      <c r="E797">
        <v>1995</v>
      </c>
      <c r="F797" t="str">
        <f>_xlfn.XLOOKUP('Raw Data'!F797,$Q$2:$Q$9,$R$2:$R$9,,1)</f>
        <v>25 - 30</v>
      </c>
      <c r="G797">
        <v>499.9</v>
      </c>
    </row>
    <row r="798" spans="1:7" x14ac:dyDescent="0.25">
      <c r="A798" t="str">
        <f>_xlfn.XLOOKUP('Raw Data'!A798,$M$2:$M$11,$N$2:$N$11,,1)</f>
        <v>33 - 38</v>
      </c>
      <c r="B798" t="str">
        <f>_xlfn.XLOOKUP('Raw Data'!B798,$Q$2:$Q$9,$R$2:$R$9,,1)</f>
        <v>15 - 20</v>
      </c>
      <c r="C798">
        <v>0</v>
      </c>
      <c r="D798" t="str">
        <f>_xlfn.XLOOKUP('Raw Data'!D798,$V$2:$V$5,$W$2:$W$5,,1)</f>
        <v>11 - 15</v>
      </c>
      <c r="E798">
        <v>2013</v>
      </c>
      <c r="F798" t="str">
        <f>_xlfn.XLOOKUP('Raw Data'!F798,$Q$2:$Q$9,$R$2:$R$9,,1)</f>
        <v>10 - 15</v>
      </c>
      <c r="G798">
        <v>490.3</v>
      </c>
    </row>
    <row r="799" spans="1:7" x14ac:dyDescent="0.25">
      <c r="A799" t="str">
        <f>_xlfn.XLOOKUP('Raw Data'!A799,$M$2:$M$11,$N$2:$N$11,,1)</f>
        <v>63 - 68</v>
      </c>
      <c r="B799" t="str">
        <f>_xlfn.XLOOKUP('Raw Data'!B799,$Q$2:$Q$9,$R$2:$R$9,,1)</f>
        <v>25 - 30</v>
      </c>
      <c r="C799">
        <v>5</v>
      </c>
      <c r="D799" t="str">
        <f>_xlfn.XLOOKUP('Raw Data'!D799,$V$2:$V$5,$W$2:$W$5,,1)</f>
        <v>23 - 27</v>
      </c>
      <c r="E799">
        <v>2009</v>
      </c>
      <c r="F799" t="str">
        <f>_xlfn.XLOOKUP('Raw Data'!F799,$Q$2:$Q$9,$R$2:$R$9,,1)</f>
        <v>15 - 20</v>
      </c>
      <c r="G799">
        <v>488.3</v>
      </c>
    </row>
    <row r="800" spans="1:7" x14ac:dyDescent="0.25">
      <c r="A800" t="str">
        <f>_xlfn.XLOOKUP('Raw Data'!A800,$M$2:$M$11,$N$2:$N$11,,1)</f>
        <v>63 - 68</v>
      </c>
      <c r="B800" t="str">
        <f>_xlfn.XLOOKUP('Raw Data'!B800,$Q$2:$Q$9,$R$2:$R$9,,1)</f>
        <v>30 - 35</v>
      </c>
      <c r="C800">
        <v>5</v>
      </c>
      <c r="D800" t="str">
        <f>_xlfn.XLOOKUP('Raw Data'!D800,$V$2:$V$5,$W$2:$W$5,,1)</f>
        <v>23 - 27</v>
      </c>
      <c r="E800">
        <v>2009</v>
      </c>
      <c r="F800" t="str">
        <f>_xlfn.XLOOKUP('Raw Data'!F800,$Q$2:$Q$9,$R$2:$R$9,,1)</f>
        <v>15 - 20</v>
      </c>
      <c r="G800">
        <v>488.25</v>
      </c>
    </row>
    <row r="801" spans="1:7" x14ac:dyDescent="0.25">
      <c r="A801" t="str">
        <f>_xlfn.XLOOKUP('Raw Data'!A801,$M$2:$M$11,$N$2:$N$11,,1)</f>
        <v>38 - 43</v>
      </c>
      <c r="B801" t="str">
        <f>_xlfn.XLOOKUP('Raw Data'!B801,$Q$2:$Q$9,$R$2:$R$9,,1)</f>
        <v>20 - 25</v>
      </c>
      <c r="C801">
        <v>3</v>
      </c>
      <c r="D801" t="str">
        <f>_xlfn.XLOOKUP('Raw Data'!D801,$V$2:$V$5,$W$2:$W$5,,1)</f>
        <v>15 - 19</v>
      </c>
      <c r="E801">
        <v>2001</v>
      </c>
      <c r="F801" t="str">
        <f>_xlfn.XLOOKUP('Raw Data'!F801,$Q$2:$Q$9,$R$2:$R$9,,1)</f>
        <v>20 - 25</v>
      </c>
      <c r="G801">
        <v>493.1</v>
      </c>
    </row>
    <row r="802" spans="1:7" x14ac:dyDescent="0.25">
      <c r="A802" t="str">
        <f>_xlfn.XLOOKUP('Raw Data'!A802,$M$2:$M$11,$N$2:$N$11,,1)</f>
        <v>28 - 33</v>
      </c>
      <c r="B802" t="str">
        <f>_xlfn.XLOOKUP('Raw Data'!B802,$Q$2:$Q$9,$R$2:$R$9,,1)</f>
        <v>10 - 15</v>
      </c>
      <c r="C802">
        <v>3</v>
      </c>
      <c r="D802" t="str">
        <f>_xlfn.XLOOKUP('Raw Data'!D802,$V$2:$V$5,$W$2:$W$5,,1)</f>
        <v>19 - 23</v>
      </c>
      <c r="E802">
        <v>2022</v>
      </c>
      <c r="F802" t="str">
        <f>_xlfn.XLOOKUP('Raw Data'!F802,$Q$2:$Q$9,$R$2:$R$9,,1)</f>
        <v>0 - 5</v>
      </c>
      <c r="G802">
        <v>496.15</v>
      </c>
    </row>
    <row r="803" spans="1:7" x14ac:dyDescent="0.25">
      <c r="A803" t="str">
        <f>_xlfn.XLOOKUP('Raw Data'!A803,$M$2:$M$11,$N$2:$N$11,,1)</f>
        <v>53 - 58</v>
      </c>
      <c r="B803" t="str">
        <f>_xlfn.XLOOKUP('Raw Data'!B803,$Q$2:$Q$9,$R$2:$R$9,,1)</f>
        <v>5 - 10</v>
      </c>
      <c r="C803">
        <v>3</v>
      </c>
      <c r="D803" t="str">
        <f>_xlfn.XLOOKUP('Raw Data'!D803,$V$2:$V$5,$W$2:$W$5,,1)</f>
        <v>11 - 15</v>
      </c>
      <c r="E803">
        <v>2017</v>
      </c>
      <c r="F803" t="str">
        <f>_xlfn.XLOOKUP('Raw Data'!F803,$Q$2:$Q$9,$R$2:$R$9,,1)</f>
        <v>5 - 10</v>
      </c>
      <c r="G803">
        <v>493.05</v>
      </c>
    </row>
    <row r="804" spans="1:7" x14ac:dyDescent="0.25">
      <c r="A804" t="str">
        <f>_xlfn.XLOOKUP('Raw Data'!A804,$M$2:$M$11,$N$2:$N$11,,1)</f>
        <v>33 - 38</v>
      </c>
      <c r="B804" t="str">
        <f>_xlfn.XLOOKUP('Raw Data'!B804,$Q$2:$Q$9,$R$2:$R$9,,1)</f>
        <v>5 - 10</v>
      </c>
      <c r="C804">
        <v>0</v>
      </c>
      <c r="D804" t="str">
        <f>_xlfn.XLOOKUP('Raw Data'!D804,$V$2:$V$5,$W$2:$W$5,,1)</f>
        <v>15 - 19</v>
      </c>
      <c r="E804">
        <v>1997</v>
      </c>
      <c r="F804" t="str">
        <f>_xlfn.XLOOKUP('Raw Data'!F804,$Q$2:$Q$9,$R$2:$R$9,,1)</f>
        <v>25 - 30</v>
      </c>
      <c r="G804">
        <v>494</v>
      </c>
    </row>
    <row r="805" spans="1:7" x14ac:dyDescent="0.25">
      <c r="A805" t="str">
        <f>_xlfn.XLOOKUP('Raw Data'!A805,$M$2:$M$11,$N$2:$N$11,,1)</f>
        <v>28 - 33</v>
      </c>
      <c r="B805" t="str">
        <f>_xlfn.XLOOKUP('Raw Data'!B805,$Q$2:$Q$9,$R$2:$R$9,,1)</f>
        <v>10 - 15</v>
      </c>
      <c r="C805">
        <v>3</v>
      </c>
      <c r="D805" t="str">
        <f>_xlfn.XLOOKUP('Raw Data'!D805,$V$2:$V$5,$W$2:$W$5,,1)</f>
        <v>11 - 15</v>
      </c>
      <c r="E805">
        <v>1990</v>
      </c>
      <c r="F805" t="str">
        <f>_xlfn.XLOOKUP('Raw Data'!F805,$Q$2:$Q$9,$R$2:$R$9,,1)</f>
        <v>30 - 35</v>
      </c>
      <c r="G805">
        <v>498.55</v>
      </c>
    </row>
    <row r="806" spans="1:7" x14ac:dyDescent="0.25">
      <c r="A806" t="str">
        <f>_xlfn.XLOOKUP('Raw Data'!A806,$M$2:$M$11,$N$2:$N$11,,1)</f>
        <v>18 - 23</v>
      </c>
      <c r="B806" t="str">
        <f>_xlfn.XLOOKUP('Raw Data'!B806,$Q$2:$Q$9,$R$2:$R$9,,1)</f>
        <v>0 - 5</v>
      </c>
      <c r="C806">
        <v>0</v>
      </c>
      <c r="D806" t="str">
        <f>_xlfn.XLOOKUP('Raw Data'!D806,$V$2:$V$5,$W$2:$W$5,,1)</f>
        <v>23 - 27</v>
      </c>
      <c r="E806">
        <v>2011</v>
      </c>
      <c r="F806" t="str">
        <f>_xlfn.XLOOKUP('Raw Data'!F806,$Q$2:$Q$9,$R$2:$R$9,,1)</f>
        <v>10 - 15</v>
      </c>
      <c r="G806">
        <v>498.5</v>
      </c>
    </row>
    <row r="807" spans="1:7" x14ac:dyDescent="0.25">
      <c r="A807" t="str">
        <f>_xlfn.XLOOKUP('Raw Data'!A807,$M$2:$M$11,$N$2:$N$11,,1)</f>
        <v>23 - 28</v>
      </c>
      <c r="B807" t="str">
        <f>_xlfn.XLOOKUP('Raw Data'!B807,$Q$2:$Q$9,$R$2:$R$9,,1)</f>
        <v>5 - 10</v>
      </c>
      <c r="C807">
        <v>3</v>
      </c>
      <c r="D807" t="str">
        <f>_xlfn.XLOOKUP('Raw Data'!D807,$V$2:$V$5,$W$2:$W$5,,1)</f>
        <v>19 - 23</v>
      </c>
      <c r="E807">
        <v>1995</v>
      </c>
      <c r="F807" t="str">
        <f>_xlfn.XLOOKUP('Raw Data'!F807,$Q$2:$Q$9,$R$2:$R$9,,1)</f>
        <v>25 - 30</v>
      </c>
      <c r="G807">
        <v>501.2</v>
      </c>
    </row>
    <row r="808" spans="1:7" x14ac:dyDescent="0.25">
      <c r="A808" t="str">
        <f>_xlfn.XLOOKUP('Raw Data'!A808,$M$2:$M$11,$N$2:$N$11,,1)</f>
        <v>53 - 58</v>
      </c>
      <c r="B808" t="str">
        <f>_xlfn.XLOOKUP('Raw Data'!B808,$Q$2:$Q$9,$R$2:$R$9,,1)</f>
        <v>5 - 10</v>
      </c>
      <c r="C808">
        <v>4</v>
      </c>
      <c r="D808" t="str">
        <f>_xlfn.XLOOKUP('Raw Data'!D808,$V$2:$V$5,$W$2:$W$5,,1)</f>
        <v>19 - 23</v>
      </c>
      <c r="E808">
        <v>2010</v>
      </c>
      <c r="F808" t="str">
        <f>_xlfn.XLOOKUP('Raw Data'!F808,$Q$2:$Q$9,$R$2:$R$9,,1)</f>
        <v>10 - 15</v>
      </c>
      <c r="G808">
        <v>494.45</v>
      </c>
    </row>
    <row r="809" spans="1:7" x14ac:dyDescent="0.25">
      <c r="A809" t="str">
        <f>_xlfn.XLOOKUP('Raw Data'!A809,$M$2:$M$11,$N$2:$N$11,,1)</f>
        <v>53 - 58</v>
      </c>
      <c r="B809" t="str">
        <f>_xlfn.XLOOKUP('Raw Data'!B809,$Q$2:$Q$9,$R$2:$R$9,,1)</f>
        <v>15 - 20</v>
      </c>
      <c r="C809">
        <v>5</v>
      </c>
      <c r="D809" t="str">
        <f>_xlfn.XLOOKUP('Raw Data'!D809,$V$2:$V$5,$W$2:$W$5,,1)</f>
        <v>19 - 23</v>
      </c>
      <c r="E809">
        <v>2021</v>
      </c>
      <c r="F809" t="str">
        <f>_xlfn.XLOOKUP('Raw Data'!F809,$Q$2:$Q$9,$R$2:$R$9,,1)</f>
        <v>0 - 5</v>
      </c>
      <c r="G809">
        <v>492.35</v>
      </c>
    </row>
    <row r="810" spans="1:7" x14ac:dyDescent="0.25">
      <c r="A810" t="str">
        <f>_xlfn.XLOOKUP('Raw Data'!A810,$M$2:$M$11,$N$2:$N$11,,1)</f>
        <v>48 - 53</v>
      </c>
      <c r="B810" t="str">
        <f>_xlfn.XLOOKUP('Raw Data'!B810,$Q$2:$Q$9,$R$2:$R$9,,1)</f>
        <v>10 - 15</v>
      </c>
      <c r="C810">
        <v>3</v>
      </c>
      <c r="D810" t="str">
        <f>_xlfn.XLOOKUP('Raw Data'!D810,$V$2:$V$5,$W$2:$W$5,,1)</f>
        <v>11 - 15</v>
      </c>
      <c r="E810">
        <v>2024</v>
      </c>
      <c r="F810" t="str">
        <f>_xlfn.XLOOKUP('Raw Data'!F810,$Q$2:$Q$9,$R$2:$R$9,,1)</f>
        <v>0 - 5</v>
      </c>
      <c r="G810">
        <v>490.5</v>
      </c>
    </row>
    <row r="811" spans="1:7" x14ac:dyDescent="0.25">
      <c r="A811" t="str">
        <f>_xlfn.XLOOKUP('Raw Data'!A811,$M$2:$M$11,$N$2:$N$11,,1)</f>
        <v>53 - 58</v>
      </c>
      <c r="B811" t="str">
        <f>_xlfn.XLOOKUP('Raw Data'!B811,$Q$2:$Q$9,$R$2:$R$9,,1)</f>
        <v>0 - 5</v>
      </c>
      <c r="C811">
        <v>1</v>
      </c>
      <c r="D811" t="str">
        <f>_xlfn.XLOOKUP('Raw Data'!D811,$V$2:$V$5,$W$2:$W$5,,1)</f>
        <v>19 - 23</v>
      </c>
      <c r="E811">
        <v>2004</v>
      </c>
      <c r="F811" t="str">
        <f>_xlfn.XLOOKUP('Raw Data'!F811,$Q$2:$Q$9,$R$2:$R$9,,1)</f>
        <v>20 - 25</v>
      </c>
      <c r="G811">
        <v>492.85</v>
      </c>
    </row>
    <row r="812" spans="1:7" x14ac:dyDescent="0.25">
      <c r="A812" t="str">
        <f>_xlfn.XLOOKUP('Raw Data'!A812,$M$2:$M$11,$N$2:$N$11,,1)</f>
        <v>48 - 53</v>
      </c>
      <c r="B812" t="str">
        <f>_xlfn.XLOOKUP('Raw Data'!B812,$Q$2:$Q$9,$R$2:$R$9,,1)</f>
        <v>0 - 5</v>
      </c>
      <c r="C812">
        <v>5</v>
      </c>
      <c r="D812" t="str">
        <f>_xlfn.XLOOKUP('Raw Data'!D812,$V$2:$V$5,$W$2:$W$5,,1)</f>
        <v>19 - 23</v>
      </c>
      <c r="E812">
        <v>1994</v>
      </c>
      <c r="F812" t="str">
        <f>_xlfn.XLOOKUP('Raw Data'!F812,$Q$2:$Q$9,$R$2:$R$9,,1)</f>
        <v>30 - 35</v>
      </c>
      <c r="G812">
        <v>500.05</v>
      </c>
    </row>
    <row r="813" spans="1:7" x14ac:dyDescent="0.25">
      <c r="A813" t="str">
        <f>_xlfn.XLOOKUP('Raw Data'!A813,$M$2:$M$11,$N$2:$N$11,,1)</f>
        <v>33 - 38</v>
      </c>
      <c r="B813" t="str">
        <f>_xlfn.XLOOKUP('Raw Data'!B813,$Q$2:$Q$9,$R$2:$R$9,,1)</f>
        <v>15 - 20</v>
      </c>
      <c r="C813">
        <v>5</v>
      </c>
      <c r="D813" t="str">
        <f>_xlfn.XLOOKUP('Raw Data'!D813,$V$2:$V$5,$W$2:$W$5,,1)</f>
        <v>11 - 15</v>
      </c>
      <c r="E813">
        <v>1995</v>
      </c>
      <c r="F813" t="str">
        <f>_xlfn.XLOOKUP('Raw Data'!F813,$Q$2:$Q$9,$R$2:$R$9,,1)</f>
        <v>25 - 30</v>
      </c>
      <c r="G813">
        <v>499.05</v>
      </c>
    </row>
    <row r="814" spans="1:7" x14ac:dyDescent="0.25">
      <c r="A814" t="str">
        <f>_xlfn.XLOOKUP('Raw Data'!A814,$M$2:$M$11,$N$2:$N$11,,1)</f>
        <v>43 - 48</v>
      </c>
      <c r="B814" t="str">
        <f>_xlfn.XLOOKUP('Raw Data'!B814,$Q$2:$Q$9,$R$2:$R$9,,1)</f>
        <v>20 - 25</v>
      </c>
      <c r="C814">
        <v>3</v>
      </c>
      <c r="D814" t="str">
        <f>_xlfn.XLOOKUP('Raw Data'!D814,$V$2:$V$5,$W$2:$W$5,,1)</f>
        <v>19 - 23</v>
      </c>
      <c r="E814">
        <v>2014</v>
      </c>
      <c r="F814" t="str">
        <f>_xlfn.XLOOKUP('Raw Data'!F814,$Q$2:$Q$9,$R$2:$R$9,,1)</f>
        <v>10 - 15</v>
      </c>
      <c r="G814">
        <v>489.75</v>
      </c>
    </row>
    <row r="815" spans="1:7" x14ac:dyDescent="0.25">
      <c r="A815" t="str">
        <f>_xlfn.XLOOKUP('Raw Data'!A815,$M$2:$M$11,$N$2:$N$11,,1)</f>
        <v>28 - 33</v>
      </c>
      <c r="B815" t="str">
        <f>_xlfn.XLOOKUP('Raw Data'!B815,$Q$2:$Q$9,$R$2:$R$9,,1)</f>
        <v>0 - 5</v>
      </c>
      <c r="C815">
        <v>2</v>
      </c>
      <c r="D815" t="str">
        <f>_xlfn.XLOOKUP('Raw Data'!D815,$V$2:$V$5,$W$2:$W$5,,1)</f>
        <v>15 - 19</v>
      </c>
      <c r="E815">
        <v>2018</v>
      </c>
      <c r="F815" t="str">
        <f>_xlfn.XLOOKUP('Raw Data'!F815,$Q$2:$Q$9,$R$2:$R$9,,1)</f>
        <v>5 - 10</v>
      </c>
      <c r="G815">
        <v>497.5</v>
      </c>
    </row>
    <row r="816" spans="1:7" x14ac:dyDescent="0.25">
      <c r="A816" t="str">
        <f>_xlfn.XLOOKUP('Raw Data'!A816,$M$2:$M$11,$N$2:$N$11,,1)</f>
        <v>43 - 48</v>
      </c>
      <c r="B816" t="str">
        <f>_xlfn.XLOOKUP('Raw Data'!B816,$Q$2:$Q$9,$R$2:$R$9,,1)</f>
        <v>25 - 30</v>
      </c>
      <c r="C816">
        <v>3</v>
      </c>
      <c r="D816" t="str">
        <f>_xlfn.XLOOKUP('Raw Data'!D816,$V$2:$V$5,$W$2:$W$5,,1)</f>
        <v>11 - 15</v>
      </c>
      <c r="E816">
        <v>1996</v>
      </c>
      <c r="F816" t="str">
        <f>_xlfn.XLOOKUP('Raw Data'!F816,$Q$2:$Q$9,$R$2:$R$9,,1)</f>
        <v>25 - 30</v>
      </c>
      <c r="G816">
        <v>491.4</v>
      </c>
    </row>
    <row r="817" spans="1:7" x14ac:dyDescent="0.25">
      <c r="A817" t="str">
        <f>_xlfn.XLOOKUP('Raw Data'!A817,$M$2:$M$11,$N$2:$N$11,,1)</f>
        <v>48 - 53</v>
      </c>
      <c r="B817" t="str">
        <f>_xlfn.XLOOKUP('Raw Data'!B817,$Q$2:$Q$9,$R$2:$R$9,,1)</f>
        <v>10 - 15</v>
      </c>
      <c r="C817">
        <v>5</v>
      </c>
      <c r="D817" t="str">
        <f>_xlfn.XLOOKUP('Raw Data'!D817,$V$2:$V$5,$W$2:$W$5,,1)</f>
        <v>15 - 19</v>
      </c>
      <c r="E817">
        <v>2002</v>
      </c>
      <c r="F817" t="str">
        <f>_xlfn.XLOOKUP('Raw Data'!F817,$Q$2:$Q$9,$R$2:$R$9,,1)</f>
        <v>20 - 25</v>
      </c>
      <c r="G817">
        <v>496.6</v>
      </c>
    </row>
    <row r="818" spans="1:7" x14ac:dyDescent="0.25">
      <c r="A818" t="str">
        <f>_xlfn.XLOOKUP('Raw Data'!A818,$M$2:$M$11,$N$2:$N$11,,1)</f>
        <v>53 - 58</v>
      </c>
      <c r="B818" t="str">
        <f>_xlfn.XLOOKUP('Raw Data'!B818,$Q$2:$Q$9,$R$2:$R$9,,1)</f>
        <v>5 - 10</v>
      </c>
      <c r="C818">
        <v>1</v>
      </c>
      <c r="D818" t="str">
        <f>_xlfn.XLOOKUP('Raw Data'!D818,$V$2:$V$5,$W$2:$W$5,,1)</f>
        <v>11 - 15</v>
      </c>
      <c r="E818">
        <v>2007</v>
      </c>
      <c r="F818" t="str">
        <f>_xlfn.XLOOKUP('Raw Data'!F818,$Q$2:$Q$9,$R$2:$R$9,,1)</f>
        <v>15 - 20</v>
      </c>
      <c r="G818">
        <v>489.85</v>
      </c>
    </row>
    <row r="819" spans="1:7" x14ac:dyDescent="0.25">
      <c r="A819" t="str">
        <f>_xlfn.XLOOKUP('Raw Data'!A819,$M$2:$M$11,$N$2:$N$11,,1)</f>
        <v>48 - 53</v>
      </c>
      <c r="B819" t="str">
        <f>_xlfn.XLOOKUP('Raw Data'!B819,$Q$2:$Q$9,$R$2:$R$9,,1)</f>
        <v>15 - 20</v>
      </c>
      <c r="C819">
        <v>5</v>
      </c>
      <c r="D819" t="str">
        <f>_xlfn.XLOOKUP('Raw Data'!D819,$V$2:$V$5,$W$2:$W$5,,1)</f>
        <v>15 - 19</v>
      </c>
      <c r="E819">
        <v>1991</v>
      </c>
      <c r="F819" t="str">
        <f>_xlfn.XLOOKUP('Raw Data'!F819,$Q$2:$Q$9,$R$2:$R$9,,1)</f>
        <v>30 - 35</v>
      </c>
      <c r="G819">
        <v>496.65</v>
      </c>
    </row>
    <row r="820" spans="1:7" x14ac:dyDescent="0.25">
      <c r="A820" t="str">
        <f>_xlfn.XLOOKUP('Raw Data'!A820,$M$2:$M$11,$N$2:$N$11,,1)</f>
        <v>38 - 43</v>
      </c>
      <c r="B820" t="str">
        <f>_xlfn.XLOOKUP('Raw Data'!B820,$Q$2:$Q$9,$R$2:$R$9,,1)</f>
        <v>10 - 15</v>
      </c>
      <c r="C820">
        <v>1</v>
      </c>
      <c r="D820" t="str">
        <f>_xlfn.XLOOKUP('Raw Data'!D820,$V$2:$V$5,$W$2:$W$5,,1)</f>
        <v>11 - 15</v>
      </c>
      <c r="E820">
        <v>1997</v>
      </c>
      <c r="F820" t="str">
        <f>_xlfn.XLOOKUP('Raw Data'!F820,$Q$2:$Q$9,$R$2:$R$9,,1)</f>
        <v>25 - 30</v>
      </c>
      <c r="G820">
        <v>493.4</v>
      </c>
    </row>
    <row r="821" spans="1:7" x14ac:dyDescent="0.25">
      <c r="A821" t="str">
        <f>_xlfn.XLOOKUP('Raw Data'!A821,$M$2:$M$11,$N$2:$N$11,,1)</f>
        <v>28 - 33</v>
      </c>
      <c r="B821" t="str">
        <f>_xlfn.XLOOKUP('Raw Data'!B821,$Q$2:$Q$9,$R$2:$R$9,,1)</f>
        <v>10 - 15</v>
      </c>
      <c r="C821">
        <v>0</v>
      </c>
      <c r="D821" t="str">
        <f>_xlfn.XLOOKUP('Raw Data'!D821,$V$2:$V$5,$W$2:$W$5,,1)</f>
        <v>19 - 23</v>
      </c>
      <c r="E821">
        <v>2000</v>
      </c>
      <c r="F821" t="str">
        <f>_xlfn.XLOOKUP('Raw Data'!F821,$Q$2:$Q$9,$R$2:$R$9,,1)</f>
        <v>20 - 25</v>
      </c>
      <c r="G821">
        <v>492.9</v>
      </c>
    </row>
    <row r="822" spans="1:7" x14ac:dyDescent="0.25">
      <c r="A822" t="str">
        <f>_xlfn.XLOOKUP('Raw Data'!A822,$M$2:$M$11,$N$2:$N$11,,1)</f>
        <v>43 - 48</v>
      </c>
      <c r="B822" t="str">
        <f>_xlfn.XLOOKUP('Raw Data'!B822,$Q$2:$Q$9,$R$2:$R$9,,1)</f>
        <v>10 - 15</v>
      </c>
      <c r="C822">
        <v>4</v>
      </c>
      <c r="D822" t="str">
        <f>_xlfn.XLOOKUP('Raw Data'!D822,$V$2:$V$5,$W$2:$W$5,,1)</f>
        <v>19 - 23</v>
      </c>
      <c r="E822">
        <v>2022</v>
      </c>
      <c r="F822" t="str">
        <f>_xlfn.XLOOKUP('Raw Data'!F822,$Q$2:$Q$9,$R$2:$R$9,,1)</f>
        <v>0 - 5</v>
      </c>
      <c r="G822">
        <v>494.7</v>
      </c>
    </row>
    <row r="823" spans="1:7" x14ac:dyDescent="0.25">
      <c r="A823" t="str">
        <f>_xlfn.XLOOKUP('Raw Data'!A823,$M$2:$M$11,$N$2:$N$11,,1)</f>
        <v>58 - 63</v>
      </c>
      <c r="B823" t="str">
        <f>_xlfn.XLOOKUP('Raw Data'!B823,$Q$2:$Q$9,$R$2:$R$9,,1)</f>
        <v>10 - 15</v>
      </c>
      <c r="C823">
        <v>5</v>
      </c>
      <c r="D823" t="str">
        <f>_xlfn.XLOOKUP('Raw Data'!D823,$V$2:$V$5,$W$2:$W$5,,1)</f>
        <v>15 - 19</v>
      </c>
      <c r="E823">
        <v>2016</v>
      </c>
      <c r="F823" t="str">
        <f>_xlfn.XLOOKUP('Raw Data'!F823,$Q$2:$Q$9,$R$2:$R$9,,1)</f>
        <v>5 - 10</v>
      </c>
      <c r="G823">
        <v>493.8</v>
      </c>
    </row>
    <row r="824" spans="1:7" x14ac:dyDescent="0.25">
      <c r="A824" t="str">
        <f>_xlfn.XLOOKUP('Raw Data'!A824,$M$2:$M$11,$N$2:$N$11,,1)</f>
        <v>33 - 38</v>
      </c>
      <c r="B824" t="str">
        <f>_xlfn.XLOOKUP('Raw Data'!B824,$Q$2:$Q$9,$R$2:$R$9,,1)</f>
        <v>15 - 20</v>
      </c>
      <c r="C824">
        <v>3</v>
      </c>
      <c r="D824" t="str">
        <f>_xlfn.XLOOKUP('Raw Data'!D824,$V$2:$V$5,$W$2:$W$5,,1)</f>
        <v>19 - 23</v>
      </c>
      <c r="E824">
        <v>2009</v>
      </c>
      <c r="F824" t="str">
        <f>_xlfn.XLOOKUP('Raw Data'!F824,$Q$2:$Q$9,$R$2:$R$9,,1)</f>
        <v>15 - 20</v>
      </c>
      <c r="G824">
        <v>495.6</v>
      </c>
    </row>
    <row r="825" spans="1:7" x14ac:dyDescent="0.25">
      <c r="A825" t="str">
        <f>_xlfn.XLOOKUP('Raw Data'!A825,$M$2:$M$11,$N$2:$N$11,,1)</f>
        <v>18 - 23</v>
      </c>
      <c r="B825" t="str">
        <f>_xlfn.XLOOKUP('Raw Data'!B825,$Q$2:$Q$9,$R$2:$R$9,,1)</f>
        <v>0 - 5</v>
      </c>
      <c r="C825">
        <v>0</v>
      </c>
      <c r="D825" t="str">
        <f>_xlfn.XLOOKUP('Raw Data'!D825,$V$2:$V$5,$W$2:$W$5,,1)</f>
        <v>11 - 15</v>
      </c>
      <c r="E825">
        <v>2001</v>
      </c>
      <c r="F825" t="str">
        <f>_xlfn.XLOOKUP('Raw Data'!F825,$Q$2:$Q$9,$R$2:$R$9,,1)</f>
        <v>20 - 25</v>
      </c>
      <c r="G825">
        <v>497.4</v>
      </c>
    </row>
    <row r="826" spans="1:7" x14ac:dyDescent="0.25">
      <c r="A826" t="str">
        <f>_xlfn.XLOOKUP('Raw Data'!A826,$M$2:$M$11,$N$2:$N$11,,1)</f>
        <v>43 - 48</v>
      </c>
      <c r="B826" t="str">
        <f>_xlfn.XLOOKUP('Raw Data'!B826,$Q$2:$Q$9,$R$2:$R$9,,1)</f>
        <v>25 - 30</v>
      </c>
      <c r="C826">
        <v>4</v>
      </c>
      <c r="D826" t="str">
        <f>_xlfn.XLOOKUP('Raw Data'!D826,$V$2:$V$5,$W$2:$W$5,,1)</f>
        <v>11 - 15</v>
      </c>
      <c r="E826">
        <v>2020</v>
      </c>
      <c r="F826" t="str">
        <f>_xlfn.XLOOKUP('Raw Data'!F826,$Q$2:$Q$9,$R$2:$R$9,,1)</f>
        <v>0 - 5</v>
      </c>
      <c r="G826">
        <v>489.5</v>
      </c>
    </row>
    <row r="827" spans="1:7" x14ac:dyDescent="0.25">
      <c r="A827" t="str">
        <f>_xlfn.XLOOKUP('Raw Data'!A827,$M$2:$M$11,$N$2:$N$11,,1)</f>
        <v>18 - 23</v>
      </c>
      <c r="B827" t="str">
        <f>_xlfn.XLOOKUP('Raw Data'!B827,$Q$2:$Q$9,$R$2:$R$9,,1)</f>
        <v>0 - 5</v>
      </c>
      <c r="C827">
        <v>3</v>
      </c>
      <c r="D827" t="str">
        <f>_xlfn.XLOOKUP('Raw Data'!D827,$V$2:$V$5,$W$2:$W$5,,1)</f>
        <v>19 - 23</v>
      </c>
      <c r="E827">
        <v>2016</v>
      </c>
      <c r="F827" t="str">
        <f>_xlfn.XLOOKUP('Raw Data'!F827,$Q$2:$Q$9,$R$2:$R$9,,1)</f>
        <v>5 - 10</v>
      </c>
      <c r="G827">
        <v>501.3</v>
      </c>
    </row>
    <row r="828" spans="1:7" x14ac:dyDescent="0.25">
      <c r="A828" t="str">
        <f>_xlfn.XLOOKUP('Raw Data'!A828,$M$2:$M$11,$N$2:$N$11,,1)</f>
        <v>23 - 28</v>
      </c>
      <c r="B828" t="str">
        <f>_xlfn.XLOOKUP('Raw Data'!B828,$Q$2:$Q$9,$R$2:$R$9,,1)</f>
        <v>5 - 10</v>
      </c>
      <c r="C828">
        <v>2</v>
      </c>
      <c r="D828" t="str">
        <f>_xlfn.XLOOKUP('Raw Data'!D828,$V$2:$V$5,$W$2:$W$5,,1)</f>
        <v>19 - 23</v>
      </c>
      <c r="E828">
        <v>2021</v>
      </c>
      <c r="F828" t="str">
        <f>_xlfn.XLOOKUP('Raw Data'!F828,$Q$2:$Q$9,$R$2:$R$9,,1)</f>
        <v>0 - 5</v>
      </c>
      <c r="G828">
        <v>496.45</v>
      </c>
    </row>
    <row r="829" spans="1:7" x14ac:dyDescent="0.25">
      <c r="A829" t="str">
        <f>_xlfn.XLOOKUP('Raw Data'!A829,$M$2:$M$11,$N$2:$N$11,,1)</f>
        <v>33 - 38</v>
      </c>
      <c r="B829" t="str">
        <f>_xlfn.XLOOKUP('Raw Data'!B829,$Q$2:$Q$9,$R$2:$R$9,,1)</f>
        <v>15 - 20</v>
      </c>
      <c r="C829">
        <v>3</v>
      </c>
      <c r="D829" t="str">
        <f>_xlfn.XLOOKUP('Raw Data'!D829,$V$2:$V$5,$W$2:$W$5,,1)</f>
        <v>15 - 19</v>
      </c>
      <c r="E829">
        <v>1999</v>
      </c>
      <c r="F829" t="str">
        <f>_xlfn.XLOOKUP('Raw Data'!F829,$Q$2:$Q$9,$R$2:$R$9,,1)</f>
        <v>25 - 30</v>
      </c>
      <c r="G829">
        <v>496.4</v>
      </c>
    </row>
    <row r="830" spans="1:7" x14ac:dyDescent="0.25">
      <c r="A830" t="str">
        <f>_xlfn.XLOOKUP('Raw Data'!A830,$M$2:$M$11,$N$2:$N$11,,1)</f>
        <v>23 - 28</v>
      </c>
      <c r="B830" t="str">
        <f>_xlfn.XLOOKUP('Raw Data'!B830,$Q$2:$Q$9,$R$2:$R$9,,1)</f>
        <v>5 - 10</v>
      </c>
      <c r="C830">
        <v>1</v>
      </c>
      <c r="D830" t="str">
        <f>_xlfn.XLOOKUP('Raw Data'!D830,$V$2:$V$5,$W$2:$W$5,,1)</f>
        <v>23 - 27</v>
      </c>
      <c r="E830">
        <v>1992</v>
      </c>
      <c r="F830" t="str">
        <f>_xlfn.XLOOKUP('Raw Data'!F830,$Q$2:$Q$9,$R$2:$R$9,,1)</f>
        <v>30 - 35</v>
      </c>
      <c r="G830">
        <v>497.95</v>
      </c>
    </row>
    <row r="831" spans="1:7" x14ac:dyDescent="0.25">
      <c r="A831" t="str">
        <f>_xlfn.XLOOKUP('Raw Data'!A831,$M$2:$M$11,$N$2:$N$11,,1)</f>
        <v>33 - 38</v>
      </c>
      <c r="B831" t="str">
        <f>_xlfn.XLOOKUP('Raw Data'!B831,$Q$2:$Q$9,$R$2:$R$9,,1)</f>
        <v>0 - 5</v>
      </c>
      <c r="C831">
        <v>1</v>
      </c>
      <c r="D831" t="str">
        <f>_xlfn.XLOOKUP('Raw Data'!D831,$V$2:$V$5,$W$2:$W$5,,1)</f>
        <v>23 - 27</v>
      </c>
      <c r="E831">
        <v>2016</v>
      </c>
      <c r="F831" t="str">
        <f>_xlfn.XLOOKUP('Raw Data'!F831,$Q$2:$Q$9,$R$2:$R$9,,1)</f>
        <v>5 - 10</v>
      </c>
      <c r="G831">
        <v>495.35</v>
      </c>
    </row>
    <row r="832" spans="1:7" x14ac:dyDescent="0.25">
      <c r="A832" t="str">
        <f>_xlfn.XLOOKUP('Raw Data'!A832,$M$2:$M$11,$N$2:$N$11,,1)</f>
        <v>33 - 38</v>
      </c>
      <c r="B832" t="str">
        <f>_xlfn.XLOOKUP('Raw Data'!B832,$Q$2:$Q$9,$R$2:$R$9,,1)</f>
        <v>15 - 20</v>
      </c>
      <c r="C832">
        <v>2</v>
      </c>
      <c r="D832" t="str">
        <f>_xlfn.XLOOKUP('Raw Data'!D832,$V$2:$V$5,$W$2:$W$5,,1)</f>
        <v>19 - 23</v>
      </c>
      <c r="E832">
        <v>2024</v>
      </c>
      <c r="F832" t="str">
        <f>_xlfn.XLOOKUP('Raw Data'!F832,$Q$2:$Q$9,$R$2:$R$9,,1)</f>
        <v>0 - 5</v>
      </c>
      <c r="G832">
        <v>491.7</v>
      </c>
    </row>
    <row r="833" spans="1:7" x14ac:dyDescent="0.25">
      <c r="A833" t="str">
        <f>_xlfn.XLOOKUP('Raw Data'!A833,$M$2:$M$11,$N$2:$N$11,,1)</f>
        <v>38 - 43</v>
      </c>
      <c r="B833" t="str">
        <f>_xlfn.XLOOKUP('Raw Data'!B833,$Q$2:$Q$9,$R$2:$R$9,,1)</f>
        <v>15 - 20</v>
      </c>
      <c r="C833">
        <v>0</v>
      </c>
      <c r="D833" t="str">
        <f>_xlfn.XLOOKUP('Raw Data'!D833,$V$2:$V$5,$W$2:$W$5,,1)</f>
        <v>11 - 15</v>
      </c>
      <c r="E833">
        <v>2020</v>
      </c>
      <c r="F833" t="str">
        <f>_xlfn.XLOOKUP('Raw Data'!F833,$Q$2:$Q$9,$R$2:$R$9,,1)</f>
        <v>0 - 5</v>
      </c>
      <c r="G833">
        <v>487.5</v>
      </c>
    </row>
    <row r="834" spans="1:7" x14ac:dyDescent="0.25">
      <c r="A834" t="str">
        <f>_xlfn.XLOOKUP('Raw Data'!A834,$M$2:$M$11,$N$2:$N$11,,1)</f>
        <v>18 - 23</v>
      </c>
      <c r="B834" t="str">
        <f>_xlfn.XLOOKUP('Raw Data'!B834,$Q$2:$Q$9,$R$2:$R$9,,1)</f>
        <v>0 - 5</v>
      </c>
      <c r="C834">
        <v>4</v>
      </c>
      <c r="D834" t="str">
        <f>_xlfn.XLOOKUP('Raw Data'!D834,$V$2:$V$5,$W$2:$W$5,,1)</f>
        <v>15 - 19</v>
      </c>
      <c r="E834">
        <v>2004</v>
      </c>
      <c r="F834" t="str">
        <f>_xlfn.XLOOKUP('Raw Data'!F834,$Q$2:$Q$9,$R$2:$R$9,,1)</f>
        <v>20 - 25</v>
      </c>
      <c r="G834">
        <v>503.35</v>
      </c>
    </row>
    <row r="835" spans="1:7" x14ac:dyDescent="0.25">
      <c r="A835" t="str">
        <f>_xlfn.XLOOKUP('Raw Data'!A835,$M$2:$M$11,$N$2:$N$11,,1)</f>
        <v>48 - 53</v>
      </c>
      <c r="B835" t="str">
        <f>_xlfn.XLOOKUP('Raw Data'!B835,$Q$2:$Q$9,$R$2:$R$9,,1)</f>
        <v>30 - 35</v>
      </c>
      <c r="C835">
        <v>3</v>
      </c>
      <c r="D835" t="str">
        <f>_xlfn.XLOOKUP('Raw Data'!D835,$V$2:$V$5,$W$2:$W$5,,1)</f>
        <v>11 - 15</v>
      </c>
      <c r="E835">
        <v>2005</v>
      </c>
      <c r="F835" t="str">
        <f>_xlfn.XLOOKUP('Raw Data'!F835,$Q$2:$Q$9,$R$2:$R$9,,1)</f>
        <v>15 - 20</v>
      </c>
      <c r="G835">
        <v>487.05</v>
      </c>
    </row>
    <row r="836" spans="1:7" x14ac:dyDescent="0.25">
      <c r="A836" t="str">
        <f>_xlfn.XLOOKUP('Raw Data'!A836,$M$2:$M$11,$N$2:$N$11,,1)</f>
        <v>18 - 23</v>
      </c>
      <c r="B836" t="str">
        <f>_xlfn.XLOOKUP('Raw Data'!B836,$Q$2:$Q$9,$R$2:$R$9,,1)</f>
        <v>0 - 5</v>
      </c>
      <c r="C836">
        <v>1</v>
      </c>
      <c r="D836" t="str">
        <f>_xlfn.XLOOKUP('Raw Data'!D836,$V$2:$V$5,$W$2:$W$5,,1)</f>
        <v>15 - 19</v>
      </c>
      <c r="E836">
        <v>2002</v>
      </c>
      <c r="F836" t="str">
        <f>_xlfn.XLOOKUP('Raw Data'!F836,$Q$2:$Q$9,$R$2:$R$9,,1)</f>
        <v>20 - 25</v>
      </c>
      <c r="G836">
        <v>498.6</v>
      </c>
    </row>
    <row r="837" spans="1:7" x14ac:dyDescent="0.25">
      <c r="A837" t="str">
        <f>_xlfn.XLOOKUP('Raw Data'!A837,$M$2:$M$11,$N$2:$N$11,,1)</f>
        <v>18 - 23</v>
      </c>
      <c r="B837" t="str">
        <f>_xlfn.XLOOKUP('Raw Data'!B837,$Q$2:$Q$9,$R$2:$R$9,,1)</f>
        <v>0 - 5</v>
      </c>
      <c r="C837">
        <v>0</v>
      </c>
      <c r="D837" t="str">
        <f>_xlfn.XLOOKUP('Raw Data'!D837,$V$2:$V$5,$W$2:$W$5,,1)</f>
        <v>15 - 19</v>
      </c>
      <c r="E837">
        <v>2024</v>
      </c>
      <c r="F837" t="str">
        <f>_xlfn.XLOOKUP('Raw Data'!F837,$Q$2:$Q$9,$R$2:$R$9,,1)</f>
        <v>0 - 5</v>
      </c>
      <c r="G837">
        <v>496.85</v>
      </c>
    </row>
    <row r="838" spans="1:7" x14ac:dyDescent="0.25">
      <c r="A838" t="str">
        <f>_xlfn.XLOOKUP('Raw Data'!A838,$M$2:$M$11,$N$2:$N$11,,1)</f>
        <v>28 - 33</v>
      </c>
      <c r="B838" t="str">
        <f>_xlfn.XLOOKUP('Raw Data'!B838,$Q$2:$Q$9,$R$2:$R$9,,1)</f>
        <v>0 - 5</v>
      </c>
      <c r="C838">
        <v>2</v>
      </c>
      <c r="D838" t="str">
        <f>_xlfn.XLOOKUP('Raw Data'!D838,$V$2:$V$5,$W$2:$W$5,,1)</f>
        <v>23 - 27</v>
      </c>
      <c r="E838">
        <v>2000</v>
      </c>
      <c r="F838" t="str">
        <f>_xlfn.XLOOKUP('Raw Data'!F838,$Q$2:$Q$9,$R$2:$R$9,,1)</f>
        <v>20 - 25</v>
      </c>
      <c r="G838">
        <v>500.1</v>
      </c>
    </row>
    <row r="839" spans="1:7" x14ac:dyDescent="0.25">
      <c r="A839" t="str">
        <f>_xlfn.XLOOKUP('Raw Data'!A839,$M$2:$M$11,$N$2:$N$11,,1)</f>
        <v>58 - 63</v>
      </c>
      <c r="B839" t="str">
        <f>_xlfn.XLOOKUP('Raw Data'!B839,$Q$2:$Q$9,$R$2:$R$9,,1)</f>
        <v>25 - 30</v>
      </c>
      <c r="C839">
        <v>5</v>
      </c>
      <c r="D839" t="str">
        <f>_xlfn.XLOOKUP('Raw Data'!D839,$V$2:$V$5,$W$2:$W$5,,1)</f>
        <v>15 - 19</v>
      </c>
      <c r="E839">
        <v>2010</v>
      </c>
      <c r="F839" t="str">
        <f>_xlfn.XLOOKUP('Raw Data'!F839,$Q$2:$Q$9,$R$2:$R$9,,1)</f>
        <v>10 - 15</v>
      </c>
      <c r="G839">
        <v>489.8</v>
      </c>
    </row>
    <row r="840" spans="1:7" x14ac:dyDescent="0.25">
      <c r="A840" t="str">
        <f>_xlfn.XLOOKUP('Raw Data'!A840,$M$2:$M$11,$N$2:$N$11,,1)</f>
        <v>58 - 63</v>
      </c>
      <c r="B840" t="str">
        <f>_xlfn.XLOOKUP('Raw Data'!B840,$Q$2:$Q$9,$R$2:$R$9,,1)</f>
        <v>5 - 10</v>
      </c>
      <c r="C840">
        <v>1</v>
      </c>
      <c r="D840" t="str">
        <f>_xlfn.XLOOKUP('Raw Data'!D840,$V$2:$V$5,$W$2:$W$5,,1)</f>
        <v>23 - 27</v>
      </c>
      <c r="E840">
        <v>2000</v>
      </c>
      <c r="F840" t="str">
        <f>_xlfn.XLOOKUP('Raw Data'!F840,$Q$2:$Q$9,$R$2:$R$9,,1)</f>
        <v>20 - 25</v>
      </c>
      <c r="G840">
        <v>490.5</v>
      </c>
    </row>
    <row r="841" spans="1:7" x14ac:dyDescent="0.25">
      <c r="A841" t="str">
        <f>_xlfn.XLOOKUP('Raw Data'!A841,$M$2:$M$11,$N$2:$N$11,,1)</f>
        <v>63 - 68</v>
      </c>
      <c r="B841" t="str">
        <f>_xlfn.XLOOKUP('Raw Data'!B841,$Q$2:$Q$9,$R$2:$R$9,,1)</f>
        <v>30 - 35</v>
      </c>
      <c r="C841">
        <v>2</v>
      </c>
      <c r="D841" t="str">
        <f>_xlfn.XLOOKUP('Raw Data'!D841,$V$2:$V$5,$W$2:$W$5,,1)</f>
        <v>15 - 19</v>
      </c>
      <c r="E841">
        <v>2019</v>
      </c>
      <c r="F841" t="str">
        <f>_xlfn.XLOOKUP('Raw Data'!F841,$Q$2:$Q$9,$R$2:$R$9,,1)</f>
        <v>5 - 10</v>
      </c>
      <c r="G841">
        <v>481.25</v>
      </c>
    </row>
    <row r="842" spans="1:7" x14ac:dyDescent="0.25">
      <c r="A842" t="str">
        <f>_xlfn.XLOOKUP('Raw Data'!A842,$M$2:$M$11,$N$2:$N$11,,1)</f>
        <v>23 - 28</v>
      </c>
      <c r="B842" t="str">
        <f>_xlfn.XLOOKUP('Raw Data'!B842,$Q$2:$Q$9,$R$2:$R$9,,1)</f>
        <v>5 - 10</v>
      </c>
      <c r="C842">
        <v>3</v>
      </c>
      <c r="D842" t="str">
        <f>_xlfn.XLOOKUP('Raw Data'!D842,$V$2:$V$5,$W$2:$W$5,,1)</f>
        <v>19 - 23</v>
      </c>
      <c r="E842">
        <v>2024</v>
      </c>
      <c r="F842" t="str">
        <f>_xlfn.XLOOKUP('Raw Data'!F842,$Q$2:$Q$9,$R$2:$R$9,,1)</f>
        <v>0 - 5</v>
      </c>
      <c r="G842">
        <v>497.05</v>
      </c>
    </row>
    <row r="843" spans="1:7" x14ac:dyDescent="0.25">
      <c r="A843" t="str">
        <f>_xlfn.XLOOKUP('Raw Data'!A843,$M$2:$M$11,$N$2:$N$11,,1)</f>
        <v>63 - 68</v>
      </c>
      <c r="B843" t="str">
        <f>_xlfn.XLOOKUP('Raw Data'!B843,$Q$2:$Q$9,$R$2:$R$9,,1)</f>
        <v>10 - 15</v>
      </c>
      <c r="C843">
        <v>4</v>
      </c>
      <c r="D843" t="str">
        <f>_xlfn.XLOOKUP('Raw Data'!D843,$V$2:$V$5,$W$2:$W$5,,1)</f>
        <v>15 - 19</v>
      </c>
      <c r="E843">
        <v>2011</v>
      </c>
      <c r="F843" t="str">
        <f>_xlfn.XLOOKUP('Raw Data'!F843,$Q$2:$Q$9,$R$2:$R$9,,1)</f>
        <v>10 - 15</v>
      </c>
      <c r="G843">
        <v>491.2</v>
      </c>
    </row>
    <row r="844" spans="1:7" x14ac:dyDescent="0.25">
      <c r="A844" t="str">
        <f>_xlfn.XLOOKUP('Raw Data'!A844,$M$2:$M$11,$N$2:$N$11,,1)</f>
        <v>38 - 43</v>
      </c>
      <c r="B844" t="str">
        <f>_xlfn.XLOOKUP('Raw Data'!B844,$Q$2:$Q$9,$R$2:$R$9,,1)</f>
        <v>20 - 25</v>
      </c>
      <c r="C844">
        <v>1</v>
      </c>
      <c r="D844" t="str">
        <f>_xlfn.XLOOKUP('Raw Data'!D844,$V$2:$V$5,$W$2:$W$5,,1)</f>
        <v>19 - 23</v>
      </c>
      <c r="E844">
        <v>2020</v>
      </c>
      <c r="F844" t="str">
        <f>_xlfn.XLOOKUP('Raw Data'!F844,$Q$2:$Q$9,$R$2:$R$9,,1)</f>
        <v>0 - 5</v>
      </c>
      <c r="G844">
        <v>488.55</v>
      </c>
    </row>
    <row r="845" spans="1:7" x14ac:dyDescent="0.25">
      <c r="A845" t="str">
        <f>_xlfn.XLOOKUP('Raw Data'!A845,$M$2:$M$11,$N$2:$N$11,,1)</f>
        <v>28 - 33</v>
      </c>
      <c r="B845" t="str">
        <f>_xlfn.XLOOKUP('Raw Data'!B845,$Q$2:$Q$9,$R$2:$R$9,,1)</f>
        <v>5 - 10</v>
      </c>
      <c r="C845">
        <v>1</v>
      </c>
      <c r="D845" t="str">
        <f>_xlfn.XLOOKUP('Raw Data'!D845,$V$2:$V$5,$W$2:$W$5,,1)</f>
        <v>15 - 19</v>
      </c>
      <c r="E845">
        <v>2003</v>
      </c>
      <c r="F845" t="str">
        <f>_xlfn.XLOOKUP('Raw Data'!F845,$Q$2:$Q$9,$R$2:$R$9,,1)</f>
        <v>20 - 25</v>
      </c>
      <c r="G845">
        <v>496.15</v>
      </c>
    </row>
    <row r="846" spans="1:7" x14ac:dyDescent="0.25">
      <c r="A846" t="str">
        <f>_xlfn.XLOOKUP('Raw Data'!A846,$M$2:$M$11,$N$2:$N$11,,1)</f>
        <v>43 - 48</v>
      </c>
      <c r="B846" t="str">
        <f>_xlfn.XLOOKUP('Raw Data'!B846,$Q$2:$Q$9,$R$2:$R$9,,1)</f>
        <v>10 - 15</v>
      </c>
      <c r="C846">
        <v>3</v>
      </c>
      <c r="D846" t="str">
        <f>_xlfn.XLOOKUP('Raw Data'!D846,$V$2:$V$5,$W$2:$W$5,,1)</f>
        <v>11 - 15</v>
      </c>
      <c r="E846">
        <v>2013</v>
      </c>
      <c r="F846" t="str">
        <f>_xlfn.XLOOKUP('Raw Data'!F846,$Q$2:$Q$9,$R$2:$R$9,,1)</f>
        <v>10 - 15</v>
      </c>
      <c r="G846">
        <v>493.55</v>
      </c>
    </row>
    <row r="847" spans="1:7" x14ac:dyDescent="0.25">
      <c r="A847" t="str">
        <f>_xlfn.XLOOKUP('Raw Data'!A847,$M$2:$M$11,$N$2:$N$11,,1)</f>
        <v>23 - 28</v>
      </c>
      <c r="B847" t="str">
        <f>_xlfn.XLOOKUP('Raw Data'!B847,$Q$2:$Q$9,$R$2:$R$9,,1)</f>
        <v>5 - 10</v>
      </c>
      <c r="C847">
        <v>5</v>
      </c>
      <c r="D847" t="str">
        <f>_xlfn.XLOOKUP('Raw Data'!D847,$V$2:$V$5,$W$2:$W$5,,1)</f>
        <v>15 - 19</v>
      </c>
      <c r="E847">
        <v>2021</v>
      </c>
      <c r="F847" t="str">
        <f>_xlfn.XLOOKUP('Raw Data'!F847,$Q$2:$Q$9,$R$2:$R$9,,1)</f>
        <v>0 - 5</v>
      </c>
      <c r="G847">
        <v>500.15</v>
      </c>
    </row>
    <row r="848" spans="1:7" x14ac:dyDescent="0.25">
      <c r="A848" t="str">
        <f>_xlfn.XLOOKUP('Raw Data'!A848,$M$2:$M$11,$N$2:$N$11,,1)</f>
        <v>28 - 33</v>
      </c>
      <c r="B848" t="str">
        <f>_xlfn.XLOOKUP('Raw Data'!B848,$Q$2:$Q$9,$R$2:$R$9,,1)</f>
        <v>10 - 15</v>
      </c>
      <c r="C848">
        <v>0</v>
      </c>
      <c r="D848" t="str">
        <f>_xlfn.XLOOKUP('Raw Data'!D848,$V$2:$V$5,$W$2:$W$5,,1)</f>
        <v>11 - 15</v>
      </c>
      <c r="E848">
        <v>2025</v>
      </c>
      <c r="F848" t="str">
        <f>_xlfn.XLOOKUP('Raw Data'!F848,$Q$2:$Q$9,$R$2:$R$9,,1)</f>
        <v>0 - 5</v>
      </c>
      <c r="G848">
        <v>489.45</v>
      </c>
    </row>
    <row r="849" spans="1:7" x14ac:dyDescent="0.25">
      <c r="A849" t="str">
        <f>_xlfn.XLOOKUP('Raw Data'!A849,$M$2:$M$11,$N$2:$N$11,,1)</f>
        <v>23 - 28</v>
      </c>
      <c r="B849" t="str">
        <f>_xlfn.XLOOKUP('Raw Data'!B849,$Q$2:$Q$9,$R$2:$R$9,,1)</f>
        <v>5 - 10</v>
      </c>
      <c r="C849">
        <v>4</v>
      </c>
      <c r="D849" t="str">
        <f>_xlfn.XLOOKUP('Raw Data'!D849,$V$2:$V$5,$W$2:$W$5,,1)</f>
        <v>11 - 15</v>
      </c>
      <c r="E849">
        <v>2021</v>
      </c>
      <c r="F849" t="str">
        <f>_xlfn.XLOOKUP('Raw Data'!F849,$Q$2:$Q$9,$R$2:$R$9,,1)</f>
        <v>0 - 5</v>
      </c>
      <c r="G849">
        <v>499.85</v>
      </c>
    </row>
    <row r="850" spans="1:7" x14ac:dyDescent="0.25">
      <c r="A850" t="str">
        <f>_xlfn.XLOOKUP('Raw Data'!A850,$M$2:$M$11,$N$2:$N$11,,1)</f>
        <v>18 - 23</v>
      </c>
      <c r="B850" t="str">
        <f>_xlfn.XLOOKUP('Raw Data'!B850,$Q$2:$Q$9,$R$2:$R$9,,1)</f>
        <v>0 - 5</v>
      </c>
      <c r="C850">
        <v>1</v>
      </c>
      <c r="D850" t="str">
        <f>_xlfn.XLOOKUP('Raw Data'!D850,$V$2:$V$5,$W$2:$W$5,,1)</f>
        <v>15 - 19</v>
      </c>
      <c r="E850">
        <v>2004</v>
      </c>
      <c r="F850" t="str">
        <f>_xlfn.XLOOKUP('Raw Data'!F850,$Q$2:$Q$9,$R$2:$R$9,,1)</f>
        <v>20 - 25</v>
      </c>
      <c r="G850">
        <v>499.45</v>
      </c>
    </row>
    <row r="851" spans="1:7" x14ac:dyDescent="0.25">
      <c r="A851" t="str">
        <f>_xlfn.XLOOKUP('Raw Data'!A851,$M$2:$M$11,$N$2:$N$11,,1)</f>
        <v>53 - 58</v>
      </c>
      <c r="B851" t="str">
        <f>_xlfn.XLOOKUP('Raw Data'!B851,$Q$2:$Q$9,$R$2:$R$9,,1)</f>
        <v>15 - 20</v>
      </c>
      <c r="C851">
        <v>4</v>
      </c>
      <c r="D851" t="str">
        <f>_xlfn.XLOOKUP('Raw Data'!D851,$V$2:$V$5,$W$2:$W$5,,1)</f>
        <v>23 - 27</v>
      </c>
      <c r="E851">
        <v>2024</v>
      </c>
      <c r="F851" t="str">
        <f>_xlfn.XLOOKUP('Raw Data'!F851,$Q$2:$Q$9,$R$2:$R$9,,1)</f>
        <v>0 - 5</v>
      </c>
      <c r="G851">
        <v>490.2</v>
      </c>
    </row>
    <row r="852" spans="1:7" x14ac:dyDescent="0.25">
      <c r="A852" t="str">
        <f>_xlfn.XLOOKUP('Raw Data'!A852,$M$2:$M$11,$N$2:$N$11,,1)</f>
        <v>18 - 23</v>
      </c>
      <c r="B852" t="str">
        <f>_xlfn.XLOOKUP('Raw Data'!B852,$Q$2:$Q$9,$R$2:$R$9,,1)</f>
        <v>0 - 5</v>
      </c>
      <c r="C852">
        <v>1</v>
      </c>
      <c r="D852" t="str">
        <f>_xlfn.XLOOKUP('Raw Data'!D852,$V$2:$V$5,$W$2:$W$5,,1)</f>
        <v>11 - 15</v>
      </c>
      <c r="E852">
        <v>1992</v>
      </c>
      <c r="F852" t="str">
        <f>_xlfn.XLOOKUP('Raw Data'!F852,$Q$2:$Q$9,$R$2:$R$9,,1)</f>
        <v>30 - 35</v>
      </c>
      <c r="G852">
        <v>500.45</v>
      </c>
    </row>
    <row r="853" spans="1:7" x14ac:dyDescent="0.25">
      <c r="A853" t="str">
        <f>_xlfn.XLOOKUP('Raw Data'!A853,$M$2:$M$11,$N$2:$N$11,,1)</f>
        <v>38 - 43</v>
      </c>
      <c r="B853" t="str">
        <f>_xlfn.XLOOKUP('Raw Data'!B853,$Q$2:$Q$9,$R$2:$R$9,,1)</f>
        <v>0 - 5</v>
      </c>
      <c r="C853">
        <v>4</v>
      </c>
      <c r="D853" t="str">
        <f>_xlfn.XLOOKUP('Raw Data'!D853,$V$2:$V$5,$W$2:$W$5,,1)</f>
        <v>19 - 23</v>
      </c>
      <c r="E853">
        <v>2005</v>
      </c>
      <c r="F853" t="str">
        <f>_xlfn.XLOOKUP('Raw Data'!F853,$Q$2:$Q$9,$R$2:$R$9,,1)</f>
        <v>15 - 20</v>
      </c>
      <c r="G853">
        <v>499.85</v>
      </c>
    </row>
    <row r="854" spans="1:7" x14ac:dyDescent="0.25">
      <c r="A854" t="str">
        <f>_xlfn.XLOOKUP('Raw Data'!A854,$M$2:$M$11,$N$2:$N$11,,1)</f>
        <v>18 - 23</v>
      </c>
      <c r="B854" t="str">
        <f>_xlfn.XLOOKUP('Raw Data'!B854,$Q$2:$Q$9,$R$2:$R$9,,1)</f>
        <v>0 - 5</v>
      </c>
      <c r="C854">
        <v>2</v>
      </c>
      <c r="D854" t="str">
        <f>_xlfn.XLOOKUP('Raw Data'!D854,$V$2:$V$5,$W$2:$W$5,,1)</f>
        <v>11 - 15</v>
      </c>
      <c r="E854">
        <v>1994</v>
      </c>
      <c r="F854" t="str">
        <f>_xlfn.XLOOKUP('Raw Data'!F854,$Q$2:$Q$9,$R$2:$R$9,,1)</f>
        <v>30 - 35</v>
      </c>
      <c r="G854">
        <v>502.25</v>
      </c>
    </row>
    <row r="855" spans="1:7" x14ac:dyDescent="0.25">
      <c r="A855" t="str">
        <f>_xlfn.XLOOKUP('Raw Data'!A855,$M$2:$M$11,$N$2:$N$11,,1)</f>
        <v>48 - 53</v>
      </c>
      <c r="B855" t="str">
        <f>_xlfn.XLOOKUP('Raw Data'!B855,$Q$2:$Q$9,$R$2:$R$9,,1)</f>
        <v>15 - 20</v>
      </c>
      <c r="C855">
        <v>1</v>
      </c>
      <c r="D855" t="str">
        <f>_xlfn.XLOOKUP('Raw Data'!D855,$V$2:$V$5,$W$2:$W$5,,1)</f>
        <v>11 - 15</v>
      </c>
      <c r="E855">
        <v>2010</v>
      </c>
      <c r="F855" t="str">
        <f>_xlfn.XLOOKUP('Raw Data'!F855,$Q$2:$Q$9,$R$2:$R$9,,1)</f>
        <v>10 - 15</v>
      </c>
      <c r="G855">
        <v>488.15</v>
      </c>
    </row>
    <row r="856" spans="1:7" x14ac:dyDescent="0.25">
      <c r="A856" t="str">
        <f>_xlfn.XLOOKUP('Raw Data'!A856,$M$2:$M$11,$N$2:$N$11,,1)</f>
        <v>18 - 23</v>
      </c>
      <c r="B856" t="str">
        <f>_xlfn.XLOOKUP('Raw Data'!B856,$Q$2:$Q$9,$R$2:$R$9,,1)</f>
        <v>0 - 5</v>
      </c>
      <c r="C856">
        <v>4</v>
      </c>
      <c r="D856" t="str">
        <f>_xlfn.XLOOKUP('Raw Data'!D856,$V$2:$V$5,$W$2:$W$5,,1)</f>
        <v>11 - 15</v>
      </c>
      <c r="E856">
        <v>1999</v>
      </c>
      <c r="F856" t="str">
        <f>_xlfn.XLOOKUP('Raw Data'!F856,$Q$2:$Q$9,$R$2:$R$9,,1)</f>
        <v>25 - 30</v>
      </c>
      <c r="G856">
        <v>504.75</v>
      </c>
    </row>
    <row r="857" spans="1:7" x14ac:dyDescent="0.25">
      <c r="A857" t="str">
        <f>_xlfn.XLOOKUP('Raw Data'!A857,$M$2:$M$11,$N$2:$N$11,,1)</f>
        <v>43 - 48</v>
      </c>
      <c r="B857" t="str">
        <f>_xlfn.XLOOKUP('Raw Data'!B857,$Q$2:$Q$9,$R$2:$R$9,,1)</f>
        <v>25 - 30</v>
      </c>
      <c r="C857">
        <v>0</v>
      </c>
      <c r="D857" t="str">
        <f>_xlfn.XLOOKUP('Raw Data'!D857,$V$2:$V$5,$W$2:$W$5,,1)</f>
        <v>11 - 15</v>
      </c>
      <c r="E857">
        <v>2008</v>
      </c>
      <c r="F857" t="str">
        <f>_xlfn.XLOOKUP('Raw Data'!F857,$Q$2:$Q$9,$R$2:$R$9,,1)</f>
        <v>15 - 20</v>
      </c>
      <c r="G857">
        <v>485.75</v>
      </c>
    </row>
    <row r="858" spans="1:7" x14ac:dyDescent="0.25">
      <c r="A858" t="str">
        <f>_xlfn.XLOOKUP('Raw Data'!A858,$M$2:$M$11,$N$2:$N$11,,1)</f>
        <v>43 - 48</v>
      </c>
      <c r="B858" t="str">
        <f>_xlfn.XLOOKUP('Raw Data'!B858,$Q$2:$Q$9,$R$2:$R$9,,1)</f>
        <v>25 - 30</v>
      </c>
      <c r="C858">
        <v>2</v>
      </c>
      <c r="D858" t="str">
        <f>_xlfn.XLOOKUP('Raw Data'!D858,$V$2:$V$5,$W$2:$W$5,,1)</f>
        <v>15 - 19</v>
      </c>
      <c r="E858">
        <v>2014</v>
      </c>
      <c r="F858" t="str">
        <f>_xlfn.XLOOKUP('Raw Data'!F858,$Q$2:$Q$9,$R$2:$R$9,,1)</f>
        <v>10 - 15</v>
      </c>
      <c r="G858">
        <v>487.45</v>
      </c>
    </row>
    <row r="859" spans="1:7" x14ac:dyDescent="0.25">
      <c r="A859" t="str">
        <f>_xlfn.XLOOKUP('Raw Data'!A859,$M$2:$M$11,$N$2:$N$11,,1)</f>
        <v>48 - 53</v>
      </c>
      <c r="B859" t="str">
        <f>_xlfn.XLOOKUP('Raw Data'!B859,$Q$2:$Q$9,$R$2:$R$9,,1)</f>
        <v>30 - 35</v>
      </c>
      <c r="C859">
        <v>2</v>
      </c>
      <c r="D859" t="str">
        <f>_xlfn.XLOOKUP('Raw Data'!D859,$V$2:$V$5,$W$2:$W$5,,1)</f>
        <v>15 - 19</v>
      </c>
      <c r="E859">
        <v>1993</v>
      </c>
      <c r="F859" t="str">
        <f>_xlfn.XLOOKUP('Raw Data'!F859,$Q$2:$Q$9,$R$2:$R$9,,1)</f>
        <v>30 - 35</v>
      </c>
      <c r="G859">
        <v>488.05</v>
      </c>
    </row>
    <row r="860" spans="1:7" x14ac:dyDescent="0.25">
      <c r="A860" t="str">
        <f>_xlfn.XLOOKUP('Raw Data'!A860,$M$2:$M$11,$N$2:$N$11,,1)</f>
        <v>33 - 38</v>
      </c>
      <c r="B860" t="str">
        <f>_xlfn.XLOOKUP('Raw Data'!B860,$Q$2:$Q$9,$R$2:$R$9,,1)</f>
        <v>15 - 20</v>
      </c>
      <c r="C860">
        <v>0</v>
      </c>
      <c r="D860" t="str">
        <f>_xlfn.XLOOKUP('Raw Data'!D860,$V$2:$V$5,$W$2:$W$5,,1)</f>
        <v>15 - 19</v>
      </c>
      <c r="E860">
        <v>2018</v>
      </c>
      <c r="F860" t="str">
        <f>_xlfn.XLOOKUP('Raw Data'!F860,$Q$2:$Q$9,$R$2:$R$9,,1)</f>
        <v>5 - 10</v>
      </c>
      <c r="G860">
        <v>488.9</v>
      </c>
    </row>
    <row r="861" spans="1:7" x14ac:dyDescent="0.25">
      <c r="A861" t="str">
        <f>_xlfn.XLOOKUP('Raw Data'!A861,$M$2:$M$11,$N$2:$N$11,,1)</f>
        <v>33 - 38</v>
      </c>
      <c r="B861" t="str">
        <f>_xlfn.XLOOKUP('Raw Data'!B861,$Q$2:$Q$9,$R$2:$R$9,,1)</f>
        <v>15 - 20</v>
      </c>
      <c r="C861">
        <v>4</v>
      </c>
      <c r="D861" t="str">
        <f>_xlfn.XLOOKUP('Raw Data'!D861,$V$2:$V$5,$W$2:$W$5,,1)</f>
        <v>23 - 27</v>
      </c>
      <c r="E861">
        <v>2008</v>
      </c>
      <c r="F861" t="str">
        <f>_xlfn.XLOOKUP('Raw Data'!F861,$Q$2:$Q$9,$R$2:$R$9,,1)</f>
        <v>15 - 20</v>
      </c>
      <c r="G861">
        <v>495.35</v>
      </c>
    </row>
    <row r="862" spans="1:7" x14ac:dyDescent="0.25">
      <c r="A862" t="str">
        <f>_xlfn.XLOOKUP('Raw Data'!A862,$M$2:$M$11,$N$2:$N$11,,1)</f>
        <v>18 - 23</v>
      </c>
      <c r="B862" t="str">
        <f>_xlfn.XLOOKUP('Raw Data'!B862,$Q$2:$Q$9,$R$2:$R$9,,1)</f>
        <v>0 - 5</v>
      </c>
      <c r="C862">
        <v>3</v>
      </c>
      <c r="D862" t="str">
        <f>_xlfn.XLOOKUP('Raw Data'!D862,$V$2:$V$5,$W$2:$W$5,,1)</f>
        <v>11 - 15</v>
      </c>
      <c r="E862">
        <v>1991</v>
      </c>
      <c r="F862" t="str">
        <f>_xlfn.XLOOKUP('Raw Data'!F862,$Q$2:$Q$9,$R$2:$R$9,,1)</f>
        <v>30 - 35</v>
      </c>
      <c r="G862">
        <v>503.75</v>
      </c>
    </row>
    <row r="863" spans="1:7" x14ac:dyDescent="0.25">
      <c r="A863" t="str">
        <f>_xlfn.XLOOKUP('Raw Data'!A863,$M$2:$M$11,$N$2:$N$11,,1)</f>
        <v>33 - 38</v>
      </c>
      <c r="B863" t="str">
        <f>_xlfn.XLOOKUP('Raw Data'!B863,$Q$2:$Q$9,$R$2:$R$9,,1)</f>
        <v>10 - 15</v>
      </c>
      <c r="C863">
        <v>0</v>
      </c>
      <c r="D863" t="str">
        <f>_xlfn.XLOOKUP('Raw Data'!D863,$V$2:$V$5,$W$2:$W$5,,1)</f>
        <v>15 - 19</v>
      </c>
      <c r="E863">
        <v>1999</v>
      </c>
      <c r="F863" t="str">
        <f>_xlfn.XLOOKUP('Raw Data'!F863,$Q$2:$Q$9,$R$2:$R$9,,1)</f>
        <v>25 - 30</v>
      </c>
      <c r="G863">
        <v>492.25</v>
      </c>
    </row>
    <row r="864" spans="1:7" x14ac:dyDescent="0.25">
      <c r="A864" t="str">
        <f>_xlfn.XLOOKUP('Raw Data'!A864,$M$2:$M$11,$N$2:$N$11,,1)</f>
        <v>43 - 48</v>
      </c>
      <c r="B864" t="str">
        <f>_xlfn.XLOOKUP('Raw Data'!B864,$Q$2:$Q$9,$R$2:$R$9,,1)</f>
        <v>25 - 30</v>
      </c>
      <c r="C864">
        <v>4</v>
      </c>
      <c r="D864" t="str">
        <f>_xlfn.XLOOKUP('Raw Data'!D864,$V$2:$V$5,$W$2:$W$5,,1)</f>
        <v>15 - 19</v>
      </c>
      <c r="E864">
        <v>2014</v>
      </c>
      <c r="F864" t="str">
        <f>_xlfn.XLOOKUP('Raw Data'!F864,$Q$2:$Q$9,$R$2:$R$9,,1)</f>
        <v>10 - 15</v>
      </c>
      <c r="G864">
        <v>490.85</v>
      </c>
    </row>
    <row r="865" spans="1:7" x14ac:dyDescent="0.25">
      <c r="A865" t="str">
        <f>_xlfn.XLOOKUP('Raw Data'!A865,$M$2:$M$11,$N$2:$N$11,,1)</f>
        <v>58 - 63</v>
      </c>
      <c r="B865" t="str">
        <f>_xlfn.XLOOKUP('Raw Data'!B865,$Q$2:$Q$9,$R$2:$R$9,,1)</f>
        <v>30 - 35</v>
      </c>
      <c r="C865">
        <v>0</v>
      </c>
      <c r="D865" t="str">
        <f>_xlfn.XLOOKUP('Raw Data'!D865,$V$2:$V$5,$W$2:$W$5,,1)</f>
        <v>23 - 27</v>
      </c>
      <c r="E865">
        <v>2009</v>
      </c>
      <c r="F865" t="str">
        <f>_xlfn.XLOOKUP('Raw Data'!F865,$Q$2:$Q$9,$R$2:$R$9,,1)</f>
        <v>15 - 20</v>
      </c>
      <c r="G865">
        <v>480.5</v>
      </c>
    </row>
    <row r="866" spans="1:7" x14ac:dyDescent="0.25">
      <c r="A866" t="str">
        <f>_xlfn.XLOOKUP('Raw Data'!A866,$M$2:$M$11,$N$2:$N$11,,1)</f>
        <v>38 - 43</v>
      </c>
      <c r="B866" t="str">
        <f>_xlfn.XLOOKUP('Raw Data'!B866,$Q$2:$Q$9,$R$2:$R$9,,1)</f>
        <v>0 - 5</v>
      </c>
      <c r="C866">
        <v>0</v>
      </c>
      <c r="D866" t="str">
        <f>_xlfn.XLOOKUP('Raw Data'!D866,$V$2:$V$5,$W$2:$W$5,,1)</f>
        <v>19 - 23</v>
      </c>
      <c r="E866">
        <v>2008</v>
      </c>
      <c r="F866" t="str">
        <f>_xlfn.XLOOKUP('Raw Data'!F866,$Q$2:$Q$9,$R$2:$R$9,,1)</f>
        <v>15 - 20</v>
      </c>
      <c r="G866">
        <v>493.4</v>
      </c>
    </row>
    <row r="867" spans="1:7" x14ac:dyDescent="0.25">
      <c r="A867" t="str">
        <f>_xlfn.XLOOKUP('Raw Data'!A867,$M$2:$M$11,$N$2:$N$11,,1)</f>
        <v>33 - 38</v>
      </c>
      <c r="B867" t="str">
        <f>_xlfn.XLOOKUP('Raw Data'!B867,$Q$2:$Q$9,$R$2:$R$9,,1)</f>
        <v>15 - 20</v>
      </c>
      <c r="C867">
        <v>1</v>
      </c>
      <c r="D867" t="str">
        <f>_xlfn.XLOOKUP('Raw Data'!D867,$V$2:$V$5,$W$2:$W$5,,1)</f>
        <v>19 - 23</v>
      </c>
      <c r="E867">
        <v>2012</v>
      </c>
      <c r="F867" t="str">
        <f>_xlfn.XLOOKUP('Raw Data'!F867,$Q$2:$Q$9,$R$2:$R$9,,1)</f>
        <v>10 - 15</v>
      </c>
      <c r="G867">
        <v>490.2</v>
      </c>
    </row>
    <row r="868" spans="1:7" x14ac:dyDescent="0.25">
      <c r="A868" t="str">
        <f>_xlfn.XLOOKUP('Raw Data'!A868,$M$2:$M$11,$N$2:$N$11,,1)</f>
        <v>18 - 23</v>
      </c>
      <c r="B868" t="str">
        <f>_xlfn.XLOOKUP('Raw Data'!B868,$Q$2:$Q$9,$R$2:$R$9,,1)</f>
        <v>0 - 5</v>
      </c>
      <c r="C868">
        <v>4</v>
      </c>
      <c r="D868" t="str">
        <f>_xlfn.XLOOKUP('Raw Data'!D868,$V$2:$V$5,$W$2:$W$5,,1)</f>
        <v>11 - 15</v>
      </c>
      <c r="E868">
        <v>2013</v>
      </c>
      <c r="F868" t="str">
        <f>_xlfn.XLOOKUP('Raw Data'!F868,$Q$2:$Q$9,$R$2:$R$9,,1)</f>
        <v>10 - 15</v>
      </c>
      <c r="G868">
        <v>501.8</v>
      </c>
    </row>
    <row r="869" spans="1:7" x14ac:dyDescent="0.25">
      <c r="A869" t="str">
        <f>_xlfn.XLOOKUP('Raw Data'!A869,$M$2:$M$11,$N$2:$N$11,,1)</f>
        <v>18 - 23</v>
      </c>
      <c r="B869" t="str">
        <f>_xlfn.XLOOKUP('Raw Data'!B869,$Q$2:$Q$9,$R$2:$R$9,,1)</f>
        <v>0 - 5</v>
      </c>
      <c r="C869">
        <v>3</v>
      </c>
      <c r="D869" t="str">
        <f>_xlfn.XLOOKUP('Raw Data'!D869,$V$2:$V$5,$W$2:$W$5,,1)</f>
        <v>15 - 19</v>
      </c>
      <c r="E869">
        <v>2000</v>
      </c>
      <c r="F869" t="str">
        <f>_xlfn.XLOOKUP('Raw Data'!F869,$Q$2:$Q$9,$R$2:$R$9,,1)</f>
        <v>20 - 25</v>
      </c>
      <c r="G869">
        <v>504.3</v>
      </c>
    </row>
    <row r="870" spans="1:7" x14ac:dyDescent="0.25">
      <c r="A870" t="str">
        <f>_xlfn.XLOOKUP('Raw Data'!A870,$M$2:$M$11,$N$2:$N$11,,1)</f>
        <v>18 - 23</v>
      </c>
      <c r="B870" t="str">
        <f>_xlfn.XLOOKUP('Raw Data'!B870,$Q$2:$Q$9,$R$2:$R$9,,1)</f>
        <v>0 - 5</v>
      </c>
      <c r="C870">
        <v>1</v>
      </c>
      <c r="D870" t="str">
        <f>_xlfn.XLOOKUP('Raw Data'!D870,$V$2:$V$5,$W$2:$W$5,,1)</f>
        <v>15 - 19</v>
      </c>
      <c r="E870">
        <v>2023</v>
      </c>
      <c r="F870" t="str">
        <f>_xlfn.XLOOKUP('Raw Data'!F870,$Q$2:$Q$9,$R$2:$R$9,,1)</f>
        <v>0 - 5</v>
      </c>
      <c r="G870">
        <v>496.9</v>
      </c>
    </row>
    <row r="871" spans="1:7" x14ac:dyDescent="0.25">
      <c r="A871" t="str">
        <f>_xlfn.XLOOKUP('Raw Data'!A871,$M$2:$M$11,$N$2:$N$11,,1)</f>
        <v>53 - 58</v>
      </c>
      <c r="B871" t="str">
        <f>_xlfn.XLOOKUP('Raw Data'!B871,$Q$2:$Q$9,$R$2:$R$9,,1)</f>
        <v>35 - 40</v>
      </c>
      <c r="C871">
        <v>0</v>
      </c>
      <c r="D871" t="str">
        <f>_xlfn.XLOOKUP('Raw Data'!D871,$V$2:$V$5,$W$2:$W$5,,1)</f>
        <v>11 - 15</v>
      </c>
      <c r="E871">
        <v>2017</v>
      </c>
      <c r="F871" t="str">
        <f>_xlfn.XLOOKUP('Raw Data'!F871,$Q$2:$Q$9,$R$2:$R$9,,1)</f>
        <v>5 - 10</v>
      </c>
      <c r="G871">
        <v>478.2</v>
      </c>
    </row>
    <row r="872" spans="1:7" x14ac:dyDescent="0.25">
      <c r="A872" t="str">
        <f>_xlfn.XLOOKUP('Raw Data'!A872,$M$2:$M$11,$N$2:$N$11,,1)</f>
        <v>28 - 33</v>
      </c>
      <c r="B872" t="str">
        <f>_xlfn.XLOOKUP('Raw Data'!B872,$Q$2:$Q$9,$R$2:$R$9,,1)</f>
        <v>10 - 15</v>
      </c>
      <c r="C872">
        <v>5</v>
      </c>
      <c r="D872" t="str">
        <f>_xlfn.XLOOKUP('Raw Data'!D872,$V$2:$V$5,$W$2:$W$5,,1)</f>
        <v>11 - 15</v>
      </c>
      <c r="E872">
        <v>1994</v>
      </c>
      <c r="F872" t="str">
        <f>_xlfn.XLOOKUP('Raw Data'!F872,$Q$2:$Q$9,$R$2:$R$9,,1)</f>
        <v>30 - 35</v>
      </c>
      <c r="G872">
        <v>502.2</v>
      </c>
    </row>
    <row r="873" spans="1:7" x14ac:dyDescent="0.25">
      <c r="A873" t="str">
        <f>_xlfn.XLOOKUP('Raw Data'!A873,$M$2:$M$11,$N$2:$N$11,,1)</f>
        <v>38 - 43</v>
      </c>
      <c r="B873" t="str">
        <f>_xlfn.XLOOKUP('Raw Data'!B873,$Q$2:$Q$9,$R$2:$R$9,,1)</f>
        <v>10 - 15</v>
      </c>
      <c r="C873">
        <v>0</v>
      </c>
      <c r="D873" t="str">
        <f>_xlfn.XLOOKUP('Raw Data'!D873,$V$2:$V$5,$W$2:$W$5,,1)</f>
        <v>11 - 15</v>
      </c>
      <c r="E873">
        <v>1994</v>
      </c>
      <c r="F873" t="str">
        <f>_xlfn.XLOOKUP('Raw Data'!F873,$Q$2:$Q$9,$R$2:$R$9,,1)</f>
        <v>30 - 35</v>
      </c>
      <c r="G873">
        <v>490.9</v>
      </c>
    </row>
    <row r="874" spans="1:7" x14ac:dyDescent="0.25">
      <c r="A874" t="str">
        <f>_xlfn.XLOOKUP('Raw Data'!A874,$M$2:$M$11,$N$2:$N$11,,1)</f>
        <v>58 - 63</v>
      </c>
      <c r="B874" t="str">
        <f>_xlfn.XLOOKUP('Raw Data'!B874,$Q$2:$Q$9,$R$2:$R$9,,1)</f>
        <v>30 - 35</v>
      </c>
      <c r="C874">
        <v>0</v>
      </c>
      <c r="D874" t="str">
        <f>_xlfn.XLOOKUP('Raw Data'!D874,$V$2:$V$5,$W$2:$W$5,,1)</f>
        <v>23 - 27</v>
      </c>
      <c r="E874">
        <v>2010</v>
      </c>
      <c r="F874" t="str">
        <f>_xlfn.XLOOKUP('Raw Data'!F874,$Q$2:$Q$9,$R$2:$R$9,,1)</f>
        <v>10 - 15</v>
      </c>
      <c r="G874">
        <v>480.5</v>
      </c>
    </row>
    <row r="875" spans="1:7" x14ac:dyDescent="0.25">
      <c r="A875" t="str">
        <f>_xlfn.XLOOKUP('Raw Data'!A875,$M$2:$M$11,$N$2:$N$11,,1)</f>
        <v>48 - 53</v>
      </c>
      <c r="B875" t="str">
        <f>_xlfn.XLOOKUP('Raw Data'!B875,$Q$2:$Q$9,$R$2:$R$9,,1)</f>
        <v>30 - 35</v>
      </c>
      <c r="C875">
        <v>4</v>
      </c>
      <c r="D875" t="str">
        <f>_xlfn.XLOOKUP('Raw Data'!D875,$V$2:$V$5,$W$2:$W$5,,1)</f>
        <v>11 - 15</v>
      </c>
      <c r="E875">
        <v>2001</v>
      </c>
      <c r="F875" t="str">
        <f>_xlfn.XLOOKUP('Raw Data'!F875,$Q$2:$Q$9,$R$2:$R$9,,1)</f>
        <v>20 - 25</v>
      </c>
      <c r="G875">
        <v>488.9</v>
      </c>
    </row>
    <row r="876" spans="1:7" x14ac:dyDescent="0.25">
      <c r="A876" t="str">
        <f>_xlfn.XLOOKUP('Raw Data'!A876,$M$2:$M$11,$N$2:$N$11,,1)</f>
        <v>28 - 33</v>
      </c>
      <c r="B876" t="str">
        <f>_xlfn.XLOOKUP('Raw Data'!B876,$Q$2:$Q$9,$R$2:$R$9,,1)</f>
        <v>10 - 15</v>
      </c>
      <c r="C876">
        <v>4</v>
      </c>
      <c r="D876" t="str">
        <f>_xlfn.XLOOKUP('Raw Data'!D876,$V$2:$V$5,$W$2:$W$5,,1)</f>
        <v>19 - 23</v>
      </c>
      <c r="E876">
        <v>1993</v>
      </c>
      <c r="F876" t="str">
        <f>_xlfn.XLOOKUP('Raw Data'!F876,$Q$2:$Q$9,$R$2:$R$9,,1)</f>
        <v>30 - 35</v>
      </c>
      <c r="G876">
        <v>500.2</v>
      </c>
    </row>
    <row r="877" spans="1:7" x14ac:dyDescent="0.25">
      <c r="A877" t="str">
        <f>_xlfn.XLOOKUP('Raw Data'!A877,$M$2:$M$11,$N$2:$N$11,,1)</f>
        <v>38 - 43</v>
      </c>
      <c r="B877" t="str">
        <f>_xlfn.XLOOKUP('Raw Data'!B877,$Q$2:$Q$9,$R$2:$R$9,,1)</f>
        <v>5 - 10</v>
      </c>
      <c r="C877">
        <v>1</v>
      </c>
      <c r="D877" t="str">
        <f>_xlfn.XLOOKUP('Raw Data'!D877,$V$2:$V$5,$W$2:$W$5,,1)</f>
        <v>23 - 27</v>
      </c>
      <c r="E877">
        <v>2009</v>
      </c>
      <c r="F877" t="str">
        <f>_xlfn.XLOOKUP('Raw Data'!F877,$Q$2:$Q$9,$R$2:$R$9,,1)</f>
        <v>15 - 20</v>
      </c>
      <c r="G877">
        <v>493.6</v>
      </c>
    </row>
    <row r="878" spans="1:7" x14ac:dyDescent="0.25">
      <c r="A878" t="str">
        <f>_xlfn.XLOOKUP('Raw Data'!A878,$M$2:$M$11,$N$2:$N$11,,1)</f>
        <v>58 - 63</v>
      </c>
      <c r="B878" t="str">
        <f>_xlfn.XLOOKUP('Raw Data'!B878,$Q$2:$Q$9,$R$2:$R$9,,1)</f>
        <v>30 - 35</v>
      </c>
      <c r="C878">
        <v>3</v>
      </c>
      <c r="D878" t="str">
        <f>_xlfn.XLOOKUP('Raw Data'!D878,$V$2:$V$5,$W$2:$W$5,,1)</f>
        <v>11 - 15</v>
      </c>
      <c r="E878">
        <v>2014</v>
      </c>
      <c r="F878" t="str">
        <f>_xlfn.XLOOKUP('Raw Data'!F878,$Q$2:$Q$9,$R$2:$R$9,,1)</f>
        <v>10 - 15</v>
      </c>
      <c r="G878">
        <v>483.4</v>
      </c>
    </row>
    <row r="879" spans="1:7" x14ac:dyDescent="0.25">
      <c r="A879" t="str">
        <f>_xlfn.XLOOKUP('Raw Data'!A879,$M$2:$M$11,$N$2:$N$11,,1)</f>
        <v>43 - 48</v>
      </c>
      <c r="B879" t="str">
        <f>_xlfn.XLOOKUP('Raw Data'!B879,$Q$2:$Q$9,$R$2:$R$9,,1)</f>
        <v>25 - 30</v>
      </c>
      <c r="C879">
        <v>1</v>
      </c>
      <c r="D879" t="str">
        <f>_xlfn.XLOOKUP('Raw Data'!D879,$V$2:$V$5,$W$2:$W$5,,1)</f>
        <v>11 - 15</v>
      </c>
      <c r="E879">
        <v>2003</v>
      </c>
      <c r="F879" t="str">
        <f>_xlfn.XLOOKUP('Raw Data'!F879,$Q$2:$Q$9,$R$2:$R$9,,1)</f>
        <v>20 - 25</v>
      </c>
      <c r="G879">
        <v>487.85</v>
      </c>
    </row>
    <row r="880" spans="1:7" x14ac:dyDescent="0.25">
      <c r="A880" t="str">
        <f>_xlfn.XLOOKUP('Raw Data'!A880,$M$2:$M$11,$N$2:$N$11,,1)</f>
        <v>23 - 28</v>
      </c>
      <c r="B880" t="str">
        <f>_xlfn.XLOOKUP('Raw Data'!B880,$Q$2:$Q$9,$R$2:$R$9,,1)</f>
        <v>5 - 10</v>
      </c>
      <c r="C880">
        <v>2</v>
      </c>
      <c r="D880" t="str">
        <f>_xlfn.XLOOKUP('Raw Data'!D880,$V$2:$V$5,$W$2:$W$5,,1)</f>
        <v>15 - 19</v>
      </c>
      <c r="E880">
        <v>2000</v>
      </c>
      <c r="F880" t="str">
        <f>_xlfn.XLOOKUP('Raw Data'!F880,$Q$2:$Q$9,$R$2:$R$9,,1)</f>
        <v>20 - 25</v>
      </c>
      <c r="G880">
        <v>498.8</v>
      </c>
    </row>
    <row r="881" spans="1:7" x14ac:dyDescent="0.25">
      <c r="A881" t="str">
        <f>_xlfn.XLOOKUP('Raw Data'!A881,$M$2:$M$11,$N$2:$N$11,,1)</f>
        <v>38 - 43</v>
      </c>
      <c r="B881" t="str">
        <f>_xlfn.XLOOKUP('Raw Data'!B881,$Q$2:$Q$9,$R$2:$R$9,,1)</f>
        <v>10 - 15</v>
      </c>
      <c r="C881">
        <v>0</v>
      </c>
      <c r="D881" t="str">
        <f>_xlfn.XLOOKUP('Raw Data'!D881,$V$2:$V$5,$W$2:$W$5,,1)</f>
        <v>23 - 27</v>
      </c>
      <c r="E881">
        <v>2021</v>
      </c>
      <c r="F881" t="str">
        <f>_xlfn.XLOOKUP('Raw Data'!F881,$Q$2:$Q$9,$R$2:$R$9,,1)</f>
        <v>0 - 5</v>
      </c>
      <c r="G881">
        <v>489.15</v>
      </c>
    </row>
    <row r="882" spans="1:7" x14ac:dyDescent="0.25">
      <c r="A882" t="str">
        <f>_xlfn.XLOOKUP('Raw Data'!A882,$M$2:$M$11,$N$2:$N$11,,1)</f>
        <v>63 - 68</v>
      </c>
      <c r="B882" t="str">
        <f>_xlfn.XLOOKUP('Raw Data'!B882,$Q$2:$Q$9,$R$2:$R$9,,1)</f>
        <v>10 - 15</v>
      </c>
      <c r="C882">
        <v>5</v>
      </c>
      <c r="D882" t="str">
        <f>_xlfn.XLOOKUP('Raw Data'!D882,$V$2:$V$5,$W$2:$W$5,,1)</f>
        <v>15 - 19</v>
      </c>
      <c r="E882">
        <v>2000</v>
      </c>
      <c r="F882" t="str">
        <f>_xlfn.XLOOKUP('Raw Data'!F882,$Q$2:$Q$9,$R$2:$R$9,,1)</f>
        <v>20 - 25</v>
      </c>
      <c r="G882">
        <v>494.1</v>
      </c>
    </row>
    <row r="883" spans="1:7" x14ac:dyDescent="0.25">
      <c r="A883" t="str">
        <f>_xlfn.XLOOKUP('Raw Data'!A883,$M$2:$M$11,$N$2:$N$11,,1)</f>
        <v>38 - 43</v>
      </c>
      <c r="B883" t="str">
        <f>_xlfn.XLOOKUP('Raw Data'!B883,$Q$2:$Q$9,$R$2:$R$9,,1)</f>
        <v>0 - 5</v>
      </c>
      <c r="C883">
        <v>0</v>
      </c>
      <c r="D883" t="str">
        <f>_xlfn.XLOOKUP('Raw Data'!D883,$V$2:$V$5,$W$2:$W$5,,1)</f>
        <v>23 - 27</v>
      </c>
      <c r="E883">
        <v>2007</v>
      </c>
      <c r="F883" t="str">
        <f>_xlfn.XLOOKUP('Raw Data'!F883,$Q$2:$Q$9,$R$2:$R$9,,1)</f>
        <v>15 - 20</v>
      </c>
      <c r="G883">
        <v>494.9</v>
      </c>
    </row>
    <row r="884" spans="1:7" x14ac:dyDescent="0.25">
      <c r="A884" t="str">
        <f>_xlfn.XLOOKUP('Raw Data'!A884,$M$2:$M$11,$N$2:$N$11,,1)</f>
        <v>63 - 68</v>
      </c>
      <c r="B884" t="str">
        <f>_xlfn.XLOOKUP('Raw Data'!B884,$Q$2:$Q$9,$R$2:$R$9,,1)</f>
        <v>35 - 40</v>
      </c>
      <c r="C884">
        <v>0</v>
      </c>
      <c r="D884" t="str">
        <f>_xlfn.XLOOKUP('Raw Data'!D884,$V$2:$V$5,$W$2:$W$5,,1)</f>
        <v>23 - 27</v>
      </c>
      <c r="E884">
        <v>2016</v>
      </c>
      <c r="F884" t="str">
        <f>_xlfn.XLOOKUP('Raw Data'!F884,$Q$2:$Q$9,$R$2:$R$9,,1)</f>
        <v>5 - 10</v>
      </c>
      <c r="G884">
        <v>478.55</v>
      </c>
    </row>
    <row r="885" spans="1:7" x14ac:dyDescent="0.25">
      <c r="A885" t="str">
        <f>_xlfn.XLOOKUP('Raw Data'!A885,$M$2:$M$11,$N$2:$N$11,,1)</f>
        <v>43 - 48</v>
      </c>
      <c r="B885" t="str">
        <f>_xlfn.XLOOKUP('Raw Data'!B885,$Q$2:$Q$9,$R$2:$R$9,,1)</f>
        <v>0 - 5</v>
      </c>
      <c r="C885">
        <v>1</v>
      </c>
      <c r="D885" t="str">
        <f>_xlfn.XLOOKUP('Raw Data'!D885,$V$2:$V$5,$W$2:$W$5,,1)</f>
        <v>11 - 15</v>
      </c>
      <c r="E885">
        <v>2007</v>
      </c>
      <c r="F885" t="str">
        <f>_xlfn.XLOOKUP('Raw Data'!F885,$Q$2:$Q$9,$R$2:$R$9,,1)</f>
        <v>15 - 20</v>
      </c>
      <c r="G885">
        <v>493.4</v>
      </c>
    </row>
    <row r="886" spans="1:7" x14ac:dyDescent="0.25">
      <c r="A886" t="str">
        <f>_xlfn.XLOOKUP('Raw Data'!A886,$M$2:$M$11,$N$2:$N$11,,1)</f>
        <v>58 - 63</v>
      </c>
      <c r="B886" t="str">
        <f>_xlfn.XLOOKUP('Raw Data'!B886,$Q$2:$Q$9,$R$2:$R$9,,1)</f>
        <v>35 - 40</v>
      </c>
      <c r="C886">
        <v>5</v>
      </c>
      <c r="D886" t="str">
        <f>_xlfn.XLOOKUP('Raw Data'!D886,$V$2:$V$5,$W$2:$W$5,,1)</f>
        <v>19 - 23</v>
      </c>
      <c r="E886">
        <v>2012</v>
      </c>
      <c r="F886" t="str">
        <f>_xlfn.XLOOKUP('Raw Data'!F886,$Q$2:$Q$9,$R$2:$R$9,,1)</f>
        <v>10 - 15</v>
      </c>
      <c r="G886">
        <v>486.85</v>
      </c>
    </row>
    <row r="887" spans="1:7" x14ac:dyDescent="0.25">
      <c r="A887" t="str">
        <f>_xlfn.XLOOKUP('Raw Data'!A887,$M$2:$M$11,$N$2:$N$11,,1)</f>
        <v>63 - 68</v>
      </c>
      <c r="B887" t="str">
        <f>_xlfn.XLOOKUP('Raw Data'!B887,$Q$2:$Q$9,$R$2:$R$9,,1)</f>
        <v>35 - 40</v>
      </c>
      <c r="C887">
        <v>5</v>
      </c>
      <c r="D887" t="str">
        <f>_xlfn.XLOOKUP('Raw Data'!D887,$V$2:$V$5,$W$2:$W$5,,1)</f>
        <v>19 - 23</v>
      </c>
      <c r="E887">
        <v>2000</v>
      </c>
      <c r="F887" t="str">
        <f>_xlfn.XLOOKUP('Raw Data'!F887,$Q$2:$Q$9,$R$2:$R$9,,1)</f>
        <v>20 - 25</v>
      </c>
      <c r="G887">
        <v>486.05</v>
      </c>
    </row>
    <row r="888" spans="1:7" x14ac:dyDescent="0.25">
      <c r="A888" t="str">
        <f>_xlfn.XLOOKUP('Raw Data'!A888,$M$2:$M$11,$N$2:$N$11,,1)</f>
        <v>33 - 38</v>
      </c>
      <c r="B888" t="str">
        <f>_xlfn.XLOOKUP('Raw Data'!B888,$Q$2:$Q$9,$R$2:$R$9,,1)</f>
        <v>10 - 15</v>
      </c>
      <c r="C888">
        <v>5</v>
      </c>
      <c r="D888" t="str">
        <f>_xlfn.XLOOKUP('Raw Data'!D888,$V$2:$V$5,$W$2:$W$5,,1)</f>
        <v>15 - 19</v>
      </c>
      <c r="E888">
        <v>2010</v>
      </c>
      <c r="F888" t="str">
        <f>_xlfn.XLOOKUP('Raw Data'!F888,$Q$2:$Q$9,$R$2:$R$9,,1)</f>
        <v>10 - 15</v>
      </c>
      <c r="G888">
        <v>499.15</v>
      </c>
    </row>
    <row r="889" spans="1:7" x14ac:dyDescent="0.25">
      <c r="A889" t="str">
        <f>_xlfn.XLOOKUP('Raw Data'!A889,$M$2:$M$11,$N$2:$N$11,,1)</f>
        <v>38 - 43</v>
      </c>
      <c r="B889" t="str">
        <f>_xlfn.XLOOKUP('Raw Data'!B889,$Q$2:$Q$9,$R$2:$R$9,,1)</f>
        <v>20 - 25</v>
      </c>
      <c r="C889">
        <v>1</v>
      </c>
      <c r="D889" t="str">
        <f>_xlfn.XLOOKUP('Raw Data'!D889,$V$2:$V$5,$W$2:$W$5,,1)</f>
        <v>15 - 19</v>
      </c>
      <c r="E889">
        <v>1994</v>
      </c>
      <c r="F889" t="str">
        <f>_xlfn.XLOOKUP('Raw Data'!F889,$Q$2:$Q$9,$R$2:$R$9,,1)</f>
        <v>30 - 35</v>
      </c>
      <c r="G889">
        <v>489.4</v>
      </c>
    </row>
    <row r="890" spans="1:7" x14ac:dyDescent="0.25">
      <c r="A890" t="str">
        <f>_xlfn.XLOOKUP('Raw Data'!A890,$M$2:$M$11,$N$2:$N$11,,1)</f>
        <v>48 - 53</v>
      </c>
      <c r="B890" t="str">
        <f>_xlfn.XLOOKUP('Raw Data'!B890,$Q$2:$Q$9,$R$2:$R$9,,1)</f>
        <v>20 - 25</v>
      </c>
      <c r="C890">
        <v>0</v>
      </c>
      <c r="D890" t="str">
        <f>_xlfn.XLOOKUP('Raw Data'!D890,$V$2:$V$5,$W$2:$W$5,,1)</f>
        <v>11 - 15</v>
      </c>
      <c r="E890">
        <v>2012</v>
      </c>
      <c r="F890" t="str">
        <f>_xlfn.XLOOKUP('Raw Data'!F890,$Q$2:$Q$9,$R$2:$R$9,,1)</f>
        <v>10 - 15</v>
      </c>
      <c r="G890">
        <v>484.1</v>
      </c>
    </row>
    <row r="891" spans="1:7" x14ac:dyDescent="0.25">
      <c r="A891" t="str">
        <f>_xlfn.XLOOKUP('Raw Data'!A891,$M$2:$M$11,$N$2:$N$11,,1)</f>
        <v>18 - 23</v>
      </c>
      <c r="B891" t="str">
        <f>_xlfn.XLOOKUP('Raw Data'!B891,$Q$2:$Q$9,$R$2:$R$9,,1)</f>
        <v>0 - 5</v>
      </c>
      <c r="C891">
        <v>1</v>
      </c>
      <c r="D891" t="str">
        <f>_xlfn.XLOOKUP('Raw Data'!D891,$V$2:$V$5,$W$2:$W$5,,1)</f>
        <v>19 - 23</v>
      </c>
      <c r="E891">
        <v>2014</v>
      </c>
      <c r="F891" t="str">
        <f>_xlfn.XLOOKUP('Raw Data'!F891,$Q$2:$Q$9,$R$2:$R$9,,1)</f>
        <v>10 - 15</v>
      </c>
      <c r="G891">
        <v>500.1</v>
      </c>
    </row>
    <row r="892" spans="1:7" x14ac:dyDescent="0.25">
      <c r="A892" t="str">
        <f>_xlfn.XLOOKUP('Raw Data'!A892,$M$2:$M$11,$N$2:$N$11,,1)</f>
        <v>23 - 28</v>
      </c>
      <c r="B892" t="str">
        <f>_xlfn.XLOOKUP('Raw Data'!B892,$Q$2:$Q$9,$R$2:$R$9,,1)</f>
        <v>0 - 5</v>
      </c>
      <c r="C892">
        <v>4</v>
      </c>
      <c r="D892" t="str">
        <f>_xlfn.XLOOKUP('Raw Data'!D892,$V$2:$V$5,$W$2:$W$5,,1)</f>
        <v>15 - 19</v>
      </c>
      <c r="E892">
        <v>1999</v>
      </c>
      <c r="F892" t="str">
        <f>_xlfn.XLOOKUP('Raw Data'!F892,$Q$2:$Q$9,$R$2:$R$9,,1)</f>
        <v>25 - 30</v>
      </c>
      <c r="G892">
        <v>504.15</v>
      </c>
    </row>
    <row r="893" spans="1:7" x14ac:dyDescent="0.25">
      <c r="A893" t="str">
        <f>_xlfn.XLOOKUP('Raw Data'!A893,$M$2:$M$11,$N$2:$N$11,,1)</f>
        <v>48 - 53</v>
      </c>
      <c r="B893" t="str">
        <f>_xlfn.XLOOKUP('Raw Data'!B893,$Q$2:$Q$9,$R$2:$R$9,,1)</f>
        <v>30 - 35</v>
      </c>
      <c r="C893">
        <v>4</v>
      </c>
      <c r="D893" t="str">
        <f>_xlfn.XLOOKUP('Raw Data'!D893,$V$2:$V$5,$W$2:$W$5,,1)</f>
        <v>23 - 27</v>
      </c>
      <c r="E893">
        <v>2011</v>
      </c>
      <c r="F893" t="str">
        <f>_xlfn.XLOOKUP('Raw Data'!F893,$Q$2:$Q$9,$R$2:$R$9,,1)</f>
        <v>10 - 15</v>
      </c>
      <c r="G893">
        <v>488.05</v>
      </c>
    </row>
    <row r="894" spans="1:7" x14ac:dyDescent="0.25">
      <c r="A894" t="str">
        <f>_xlfn.XLOOKUP('Raw Data'!A894,$M$2:$M$11,$N$2:$N$11,,1)</f>
        <v>28 - 33</v>
      </c>
      <c r="B894" t="str">
        <f>_xlfn.XLOOKUP('Raw Data'!B894,$Q$2:$Q$9,$R$2:$R$9,,1)</f>
        <v>0 - 5</v>
      </c>
      <c r="C894">
        <v>1</v>
      </c>
      <c r="D894" t="str">
        <f>_xlfn.XLOOKUP('Raw Data'!D894,$V$2:$V$5,$W$2:$W$5,,1)</f>
        <v>23 - 27</v>
      </c>
      <c r="E894">
        <v>2008</v>
      </c>
      <c r="F894" t="str">
        <f>_xlfn.XLOOKUP('Raw Data'!F894,$Q$2:$Q$9,$R$2:$R$9,,1)</f>
        <v>15 - 20</v>
      </c>
      <c r="G894">
        <v>496.5</v>
      </c>
    </row>
    <row r="895" spans="1:7" x14ac:dyDescent="0.25">
      <c r="A895" t="str">
        <f>_xlfn.XLOOKUP('Raw Data'!A895,$M$2:$M$11,$N$2:$N$11,,1)</f>
        <v>63 - 68</v>
      </c>
      <c r="B895" t="str">
        <f>_xlfn.XLOOKUP('Raw Data'!B895,$Q$2:$Q$9,$R$2:$R$9,,1)</f>
        <v>15 - 20</v>
      </c>
      <c r="C895">
        <v>5</v>
      </c>
      <c r="D895" t="str">
        <f>_xlfn.XLOOKUP('Raw Data'!D895,$V$2:$V$5,$W$2:$W$5,,1)</f>
        <v>11 - 15</v>
      </c>
      <c r="E895">
        <v>1990</v>
      </c>
      <c r="F895" t="str">
        <f>_xlfn.XLOOKUP('Raw Data'!F895,$Q$2:$Q$9,$R$2:$R$9,,1)</f>
        <v>30 - 35</v>
      </c>
      <c r="G895">
        <v>494</v>
      </c>
    </row>
    <row r="896" spans="1:7" x14ac:dyDescent="0.25">
      <c r="A896" t="str">
        <f>_xlfn.XLOOKUP('Raw Data'!A896,$M$2:$M$11,$N$2:$N$11,,1)</f>
        <v>38 - 43</v>
      </c>
      <c r="B896" t="str">
        <f>_xlfn.XLOOKUP('Raw Data'!B896,$Q$2:$Q$9,$R$2:$R$9,,1)</f>
        <v>20 - 25</v>
      </c>
      <c r="C896">
        <v>0</v>
      </c>
      <c r="D896" t="str">
        <f>_xlfn.XLOOKUP('Raw Data'!D896,$V$2:$V$5,$W$2:$W$5,,1)</f>
        <v>11 - 15</v>
      </c>
      <c r="E896">
        <v>1996</v>
      </c>
      <c r="F896" t="str">
        <f>_xlfn.XLOOKUP('Raw Data'!F896,$Q$2:$Q$9,$R$2:$R$9,,1)</f>
        <v>25 - 30</v>
      </c>
      <c r="G896">
        <v>489.4</v>
      </c>
    </row>
    <row r="897" spans="1:7" x14ac:dyDescent="0.25">
      <c r="A897" t="str">
        <f>_xlfn.XLOOKUP('Raw Data'!A897,$M$2:$M$11,$N$2:$N$11,,1)</f>
        <v>28 - 33</v>
      </c>
      <c r="B897" t="str">
        <f>_xlfn.XLOOKUP('Raw Data'!B897,$Q$2:$Q$9,$R$2:$R$9,,1)</f>
        <v>10 - 15</v>
      </c>
      <c r="C897">
        <v>1</v>
      </c>
      <c r="D897" t="str">
        <f>_xlfn.XLOOKUP('Raw Data'!D897,$V$2:$V$5,$W$2:$W$5,,1)</f>
        <v>15 - 19</v>
      </c>
      <c r="E897">
        <v>1993</v>
      </c>
      <c r="F897" t="str">
        <f>_xlfn.XLOOKUP('Raw Data'!F897,$Q$2:$Q$9,$R$2:$R$9,,1)</f>
        <v>30 - 35</v>
      </c>
      <c r="G897">
        <v>495.5</v>
      </c>
    </row>
    <row r="898" spans="1:7" x14ac:dyDescent="0.25">
      <c r="A898" t="str">
        <f>_xlfn.XLOOKUP('Raw Data'!A898,$M$2:$M$11,$N$2:$N$11,,1)</f>
        <v>38 - 43</v>
      </c>
      <c r="B898" t="str">
        <f>_xlfn.XLOOKUP('Raw Data'!B898,$Q$2:$Q$9,$R$2:$R$9,,1)</f>
        <v>0 - 5</v>
      </c>
      <c r="C898">
        <v>1</v>
      </c>
      <c r="D898" t="str">
        <f>_xlfn.XLOOKUP('Raw Data'!D898,$V$2:$V$5,$W$2:$W$5,,1)</f>
        <v>11 - 15</v>
      </c>
      <c r="E898">
        <v>1990</v>
      </c>
      <c r="F898" t="str">
        <f>_xlfn.XLOOKUP('Raw Data'!F898,$Q$2:$Q$9,$R$2:$R$9,,1)</f>
        <v>30 - 35</v>
      </c>
      <c r="G898">
        <v>496.7</v>
      </c>
    </row>
    <row r="899" spans="1:7" x14ac:dyDescent="0.25">
      <c r="A899" t="str">
        <f>_xlfn.XLOOKUP('Raw Data'!A899,$M$2:$M$11,$N$2:$N$11,,1)</f>
        <v>43 - 48</v>
      </c>
      <c r="B899" t="str">
        <f>_xlfn.XLOOKUP('Raw Data'!B899,$Q$2:$Q$9,$R$2:$R$9,,1)</f>
        <v>25 - 30</v>
      </c>
      <c r="C899">
        <v>1</v>
      </c>
      <c r="D899" t="str">
        <f>_xlfn.XLOOKUP('Raw Data'!D899,$V$2:$V$5,$W$2:$W$5,,1)</f>
        <v>23 - 27</v>
      </c>
      <c r="E899">
        <v>2004</v>
      </c>
      <c r="F899" t="str">
        <f>_xlfn.XLOOKUP('Raw Data'!F899,$Q$2:$Q$9,$R$2:$R$9,,1)</f>
        <v>20 - 25</v>
      </c>
      <c r="G899">
        <v>487.75</v>
      </c>
    </row>
    <row r="900" spans="1:7" x14ac:dyDescent="0.25">
      <c r="A900" t="str">
        <f>_xlfn.XLOOKUP('Raw Data'!A900,$M$2:$M$11,$N$2:$N$11,,1)</f>
        <v>38 - 43</v>
      </c>
      <c r="B900" t="str">
        <f>_xlfn.XLOOKUP('Raw Data'!B900,$Q$2:$Q$9,$R$2:$R$9,,1)</f>
        <v>20 - 25</v>
      </c>
      <c r="C900">
        <v>2</v>
      </c>
      <c r="D900" t="str">
        <f>_xlfn.XLOOKUP('Raw Data'!D900,$V$2:$V$5,$W$2:$W$5,,1)</f>
        <v>19 - 23</v>
      </c>
      <c r="E900">
        <v>2001</v>
      </c>
      <c r="F900" t="str">
        <f>_xlfn.XLOOKUP('Raw Data'!F900,$Q$2:$Q$9,$R$2:$R$9,,1)</f>
        <v>20 - 25</v>
      </c>
      <c r="G900">
        <v>491.85</v>
      </c>
    </row>
    <row r="901" spans="1:7" x14ac:dyDescent="0.25">
      <c r="A901" t="str">
        <f>_xlfn.XLOOKUP('Raw Data'!A901,$M$2:$M$11,$N$2:$N$11,,1)</f>
        <v>28 - 33</v>
      </c>
      <c r="B901" t="str">
        <f>_xlfn.XLOOKUP('Raw Data'!B901,$Q$2:$Q$9,$R$2:$R$9,,1)</f>
        <v>0 - 5</v>
      </c>
      <c r="C901">
        <v>4</v>
      </c>
      <c r="D901" t="str">
        <f>_xlfn.XLOOKUP('Raw Data'!D901,$V$2:$V$5,$W$2:$W$5,,1)</f>
        <v>15 - 19</v>
      </c>
      <c r="E901">
        <v>2011</v>
      </c>
      <c r="F901" t="str">
        <f>_xlfn.XLOOKUP('Raw Data'!F901,$Q$2:$Q$9,$R$2:$R$9,,1)</f>
        <v>10 - 15</v>
      </c>
      <c r="G901">
        <v>500.95</v>
      </c>
    </row>
    <row r="902" spans="1:7" x14ac:dyDescent="0.25">
      <c r="A902" t="str">
        <f>_xlfn.XLOOKUP('Raw Data'!A902,$M$2:$M$11,$N$2:$N$11,,1)</f>
        <v>38 - 43</v>
      </c>
      <c r="B902" t="str">
        <f>_xlfn.XLOOKUP('Raw Data'!B902,$Q$2:$Q$9,$R$2:$R$9,,1)</f>
        <v>0 - 5</v>
      </c>
      <c r="C902">
        <v>5</v>
      </c>
      <c r="D902" t="str">
        <f>_xlfn.XLOOKUP('Raw Data'!D902,$V$2:$V$5,$W$2:$W$5,,1)</f>
        <v>19 - 23</v>
      </c>
      <c r="E902">
        <v>2011</v>
      </c>
      <c r="F902" t="str">
        <f>_xlfn.XLOOKUP('Raw Data'!F902,$Q$2:$Q$9,$R$2:$R$9,,1)</f>
        <v>10 - 15</v>
      </c>
      <c r="G902">
        <v>501.8</v>
      </c>
    </row>
    <row r="903" spans="1:7" x14ac:dyDescent="0.25">
      <c r="A903" t="str">
        <f>_xlfn.XLOOKUP('Raw Data'!A903,$M$2:$M$11,$N$2:$N$11,,1)</f>
        <v>18 - 23</v>
      </c>
      <c r="B903" t="str">
        <f>_xlfn.XLOOKUP('Raw Data'!B903,$Q$2:$Q$9,$R$2:$R$9,,1)</f>
        <v>0 - 5</v>
      </c>
      <c r="C903">
        <v>3</v>
      </c>
      <c r="D903" t="str">
        <f>_xlfn.XLOOKUP('Raw Data'!D903,$V$2:$V$5,$W$2:$W$5,,1)</f>
        <v>11 - 15</v>
      </c>
      <c r="E903">
        <v>2006</v>
      </c>
      <c r="F903" t="str">
        <f>_xlfn.XLOOKUP('Raw Data'!F903,$Q$2:$Q$9,$R$2:$R$9,,1)</f>
        <v>15 - 20</v>
      </c>
      <c r="G903">
        <v>502.85</v>
      </c>
    </row>
    <row r="904" spans="1:7" x14ac:dyDescent="0.25">
      <c r="A904" t="str">
        <f>_xlfn.XLOOKUP('Raw Data'!A904,$M$2:$M$11,$N$2:$N$11,,1)</f>
        <v>58 - 63</v>
      </c>
      <c r="B904" t="str">
        <f>_xlfn.XLOOKUP('Raw Data'!B904,$Q$2:$Q$9,$R$2:$R$9,,1)</f>
        <v>10 - 15</v>
      </c>
      <c r="C904">
        <v>5</v>
      </c>
      <c r="D904" t="str">
        <f>_xlfn.XLOOKUP('Raw Data'!D904,$V$2:$V$5,$W$2:$W$5,,1)</f>
        <v>23 - 27</v>
      </c>
      <c r="E904">
        <v>2018</v>
      </c>
      <c r="F904" t="str">
        <f>_xlfn.XLOOKUP('Raw Data'!F904,$Q$2:$Q$9,$R$2:$R$9,,1)</f>
        <v>5 - 10</v>
      </c>
      <c r="G904">
        <v>493.75</v>
      </c>
    </row>
    <row r="905" spans="1:7" x14ac:dyDescent="0.25">
      <c r="A905" t="str">
        <f>_xlfn.XLOOKUP('Raw Data'!A905,$M$2:$M$11,$N$2:$N$11,,1)</f>
        <v>38 - 43</v>
      </c>
      <c r="B905" t="str">
        <f>_xlfn.XLOOKUP('Raw Data'!B905,$Q$2:$Q$9,$R$2:$R$9,,1)</f>
        <v>20 - 25</v>
      </c>
      <c r="C905">
        <v>3</v>
      </c>
      <c r="D905" t="str">
        <f>_xlfn.XLOOKUP('Raw Data'!D905,$V$2:$V$5,$W$2:$W$5,,1)</f>
        <v>15 - 19</v>
      </c>
      <c r="E905">
        <v>2003</v>
      </c>
      <c r="F905" t="str">
        <f>_xlfn.XLOOKUP('Raw Data'!F905,$Q$2:$Q$9,$R$2:$R$9,,1)</f>
        <v>20 - 25</v>
      </c>
      <c r="G905">
        <v>491.55</v>
      </c>
    </row>
    <row r="906" spans="1:7" x14ac:dyDescent="0.25">
      <c r="A906" t="str">
        <f>_xlfn.XLOOKUP('Raw Data'!A906,$M$2:$M$11,$N$2:$N$11,,1)</f>
        <v>28 - 33</v>
      </c>
      <c r="B906" t="str">
        <f>_xlfn.XLOOKUP('Raw Data'!B906,$Q$2:$Q$9,$R$2:$R$9,,1)</f>
        <v>10 - 15</v>
      </c>
      <c r="C906">
        <v>2</v>
      </c>
      <c r="D906" t="str">
        <f>_xlfn.XLOOKUP('Raw Data'!D906,$V$2:$V$5,$W$2:$W$5,,1)</f>
        <v>23 - 27</v>
      </c>
      <c r="E906">
        <v>2009</v>
      </c>
      <c r="F906" t="str">
        <f>_xlfn.XLOOKUP('Raw Data'!F906,$Q$2:$Q$9,$R$2:$R$9,,1)</f>
        <v>15 - 20</v>
      </c>
      <c r="G906">
        <v>495.75</v>
      </c>
    </row>
    <row r="907" spans="1:7" x14ac:dyDescent="0.25">
      <c r="A907" t="str">
        <f>_xlfn.XLOOKUP('Raw Data'!A907,$M$2:$M$11,$N$2:$N$11,,1)</f>
        <v>23 - 28</v>
      </c>
      <c r="B907" t="str">
        <f>_xlfn.XLOOKUP('Raw Data'!B907,$Q$2:$Q$9,$R$2:$R$9,,1)</f>
        <v>5 - 10</v>
      </c>
      <c r="C907">
        <v>1</v>
      </c>
      <c r="D907" t="str">
        <f>_xlfn.XLOOKUP('Raw Data'!D907,$V$2:$V$5,$W$2:$W$5,,1)</f>
        <v>11 - 15</v>
      </c>
      <c r="E907">
        <v>2022</v>
      </c>
      <c r="F907" t="str">
        <f>_xlfn.XLOOKUP('Raw Data'!F907,$Q$2:$Q$9,$R$2:$R$9,,1)</f>
        <v>0 - 5</v>
      </c>
      <c r="G907">
        <v>495.75</v>
      </c>
    </row>
    <row r="908" spans="1:7" x14ac:dyDescent="0.25">
      <c r="A908" t="str">
        <f>_xlfn.XLOOKUP('Raw Data'!A908,$M$2:$M$11,$N$2:$N$11,,1)</f>
        <v>18 - 23</v>
      </c>
      <c r="B908" t="str">
        <f>_xlfn.XLOOKUP('Raw Data'!B908,$Q$2:$Q$9,$R$2:$R$9,,1)</f>
        <v>0 - 5</v>
      </c>
      <c r="C908">
        <v>2</v>
      </c>
      <c r="D908" t="str">
        <f>_xlfn.XLOOKUP('Raw Data'!D908,$V$2:$V$5,$W$2:$W$5,,1)</f>
        <v>19 - 23</v>
      </c>
      <c r="E908">
        <v>2004</v>
      </c>
      <c r="F908" t="str">
        <f>_xlfn.XLOOKUP('Raw Data'!F908,$Q$2:$Q$9,$R$2:$R$9,,1)</f>
        <v>20 - 25</v>
      </c>
      <c r="G908">
        <v>501.5</v>
      </c>
    </row>
    <row r="909" spans="1:7" x14ac:dyDescent="0.25">
      <c r="A909" t="str">
        <f>_xlfn.XLOOKUP('Raw Data'!A909,$M$2:$M$11,$N$2:$N$11,,1)</f>
        <v>63 - 68</v>
      </c>
      <c r="B909" t="str">
        <f>_xlfn.XLOOKUP('Raw Data'!B909,$Q$2:$Q$9,$R$2:$R$9,,1)</f>
        <v>5 - 10</v>
      </c>
      <c r="C909">
        <v>2</v>
      </c>
      <c r="D909" t="str">
        <f>_xlfn.XLOOKUP('Raw Data'!D909,$V$2:$V$5,$W$2:$W$5,,1)</f>
        <v>19 - 23</v>
      </c>
      <c r="E909">
        <v>2001</v>
      </c>
      <c r="F909" t="str">
        <f>_xlfn.XLOOKUP('Raw Data'!F909,$Q$2:$Q$9,$R$2:$R$9,,1)</f>
        <v>20 - 25</v>
      </c>
      <c r="G909">
        <v>491.05</v>
      </c>
    </row>
    <row r="910" spans="1:7" x14ac:dyDescent="0.25">
      <c r="A910" t="str">
        <f>_xlfn.XLOOKUP('Raw Data'!A910,$M$2:$M$11,$N$2:$N$11,,1)</f>
        <v>38 - 43</v>
      </c>
      <c r="B910" t="str">
        <f>_xlfn.XLOOKUP('Raw Data'!B910,$Q$2:$Q$9,$R$2:$R$9,,1)</f>
        <v>0 - 5</v>
      </c>
      <c r="C910">
        <v>0</v>
      </c>
      <c r="D910" t="str">
        <f>_xlfn.XLOOKUP('Raw Data'!D910,$V$2:$V$5,$W$2:$W$5,,1)</f>
        <v>19 - 23</v>
      </c>
      <c r="E910">
        <v>2009</v>
      </c>
      <c r="F910" t="str">
        <f>_xlfn.XLOOKUP('Raw Data'!F910,$Q$2:$Q$9,$R$2:$R$9,,1)</f>
        <v>15 - 20</v>
      </c>
      <c r="G910">
        <v>494</v>
      </c>
    </row>
    <row r="911" spans="1:7" x14ac:dyDescent="0.25">
      <c r="A911" t="str">
        <f>_xlfn.XLOOKUP('Raw Data'!A911,$M$2:$M$11,$N$2:$N$11,,1)</f>
        <v>58 - 63</v>
      </c>
      <c r="B911" t="str">
        <f>_xlfn.XLOOKUP('Raw Data'!B911,$Q$2:$Q$9,$R$2:$R$9,,1)</f>
        <v>10 - 15</v>
      </c>
      <c r="C911">
        <v>4</v>
      </c>
      <c r="D911" t="str">
        <f>_xlfn.XLOOKUP('Raw Data'!D911,$V$2:$V$5,$W$2:$W$5,,1)</f>
        <v>11 - 15</v>
      </c>
      <c r="E911">
        <v>2019</v>
      </c>
      <c r="F911" t="str">
        <f>_xlfn.XLOOKUP('Raw Data'!F911,$Q$2:$Q$9,$R$2:$R$9,,1)</f>
        <v>5 - 10</v>
      </c>
      <c r="G911">
        <v>490.7</v>
      </c>
    </row>
    <row r="912" spans="1:7" x14ac:dyDescent="0.25">
      <c r="A912" t="str">
        <f>_xlfn.XLOOKUP('Raw Data'!A912,$M$2:$M$11,$N$2:$N$11,,1)</f>
        <v>58 - 63</v>
      </c>
      <c r="B912" t="str">
        <f>_xlfn.XLOOKUP('Raw Data'!B912,$Q$2:$Q$9,$R$2:$R$9,,1)</f>
        <v>10 - 15</v>
      </c>
      <c r="C912">
        <v>3</v>
      </c>
      <c r="D912" t="str">
        <f>_xlfn.XLOOKUP('Raw Data'!D912,$V$2:$V$5,$W$2:$W$5,,1)</f>
        <v>15 - 19</v>
      </c>
      <c r="E912">
        <v>1992</v>
      </c>
      <c r="F912" t="str">
        <f>_xlfn.XLOOKUP('Raw Data'!F912,$Q$2:$Q$9,$R$2:$R$9,,1)</f>
        <v>30 - 35</v>
      </c>
      <c r="G912">
        <v>492.1</v>
      </c>
    </row>
    <row r="913" spans="1:7" x14ac:dyDescent="0.25">
      <c r="A913" t="str">
        <f>_xlfn.XLOOKUP('Raw Data'!A913,$M$2:$M$11,$N$2:$N$11,,1)</f>
        <v>63 - 68</v>
      </c>
      <c r="B913" t="str">
        <f>_xlfn.XLOOKUP('Raw Data'!B913,$Q$2:$Q$9,$R$2:$R$9,,1)</f>
        <v>5 - 10</v>
      </c>
      <c r="C913">
        <v>1</v>
      </c>
      <c r="D913" t="str">
        <f>_xlfn.XLOOKUP('Raw Data'!D913,$V$2:$V$5,$W$2:$W$5,,1)</f>
        <v>15 - 19</v>
      </c>
      <c r="E913">
        <v>2017</v>
      </c>
      <c r="F913" t="str">
        <f>_xlfn.XLOOKUP('Raw Data'!F913,$Q$2:$Q$9,$R$2:$R$9,,1)</f>
        <v>5 - 10</v>
      </c>
      <c r="G913">
        <v>487.6</v>
      </c>
    </row>
    <row r="914" spans="1:7" x14ac:dyDescent="0.25">
      <c r="A914" t="str">
        <f>_xlfn.XLOOKUP('Raw Data'!A914,$M$2:$M$11,$N$2:$N$11,,1)</f>
        <v>58 - 63</v>
      </c>
      <c r="B914" t="str">
        <f>_xlfn.XLOOKUP('Raw Data'!B914,$Q$2:$Q$9,$R$2:$R$9,,1)</f>
        <v>25 - 30</v>
      </c>
      <c r="C914">
        <v>3</v>
      </c>
      <c r="D914" t="str">
        <f>_xlfn.XLOOKUP('Raw Data'!D914,$V$2:$V$5,$W$2:$W$5,,1)</f>
        <v>11 - 15</v>
      </c>
      <c r="E914">
        <v>2015</v>
      </c>
      <c r="F914" t="str">
        <f>_xlfn.XLOOKUP('Raw Data'!F914,$Q$2:$Q$9,$R$2:$R$9,,1)</f>
        <v>5 - 10</v>
      </c>
      <c r="G914">
        <v>485.25</v>
      </c>
    </row>
    <row r="915" spans="1:7" x14ac:dyDescent="0.25">
      <c r="A915" t="str">
        <f>_xlfn.XLOOKUP('Raw Data'!A915,$M$2:$M$11,$N$2:$N$11,,1)</f>
        <v>33 - 38</v>
      </c>
      <c r="B915" t="str">
        <f>_xlfn.XLOOKUP('Raw Data'!B915,$Q$2:$Q$9,$R$2:$R$9,,1)</f>
        <v>5 - 10</v>
      </c>
      <c r="C915">
        <v>5</v>
      </c>
      <c r="D915" t="str">
        <f>_xlfn.XLOOKUP('Raw Data'!D915,$V$2:$V$5,$W$2:$W$5,,1)</f>
        <v>15 - 19</v>
      </c>
      <c r="E915">
        <v>2019</v>
      </c>
      <c r="F915" t="str">
        <f>_xlfn.XLOOKUP('Raw Data'!F915,$Q$2:$Q$9,$R$2:$R$9,,1)</f>
        <v>5 - 10</v>
      </c>
      <c r="G915">
        <v>499.25</v>
      </c>
    </row>
    <row r="916" spans="1:7" x14ac:dyDescent="0.25">
      <c r="A916" t="str">
        <f>_xlfn.XLOOKUP('Raw Data'!A916,$M$2:$M$11,$N$2:$N$11,,1)</f>
        <v>53 - 58</v>
      </c>
      <c r="B916" t="str">
        <f>_xlfn.XLOOKUP('Raw Data'!B916,$Q$2:$Q$9,$R$2:$R$9,,1)</f>
        <v>10 - 15</v>
      </c>
      <c r="C916">
        <v>3</v>
      </c>
      <c r="D916" t="str">
        <f>_xlfn.XLOOKUP('Raw Data'!D916,$V$2:$V$5,$W$2:$W$5,,1)</f>
        <v>15 - 19</v>
      </c>
      <c r="E916">
        <v>2002</v>
      </c>
      <c r="F916" t="str">
        <f>_xlfn.XLOOKUP('Raw Data'!F916,$Q$2:$Q$9,$R$2:$R$9,,1)</f>
        <v>20 - 25</v>
      </c>
      <c r="G916">
        <v>493.4</v>
      </c>
    </row>
    <row r="917" spans="1:7" x14ac:dyDescent="0.25">
      <c r="A917" t="str">
        <f>_xlfn.XLOOKUP('Raw Data'!A917,$M$2:$M$11,$N$2:$N$11,,1)</f>
        <v>48 - 53</v>
      </c>
      <c r="B917" t="str">
        <f>_xlfn.XLOOKUP('Raw Data'!B917,$Q$2:$Q$9,$R$2:$R$9,,1)</f>
        <v>25 - 30</v>
      </c>
      <c r="C917">
        <v>5</v>
      </c>
      <c r="D917" t="str">
        <f>_xlfn.XLOOKUP('Raw Data'!D917,$V$2:$V$5,$W$2:$W$5,,1)</f>
        <v>11 - 15</v>
      </c>
      <c r="E917">
        <v>2002</v>
      </c>
      <c r="F917" t="str">
        <f>_xlfn.XLOOKUP('Raw Data'!F917,$Q$2:$Q$9,$R$2:$R$9,,1)</f>
        <v>20 - 25</v>
      </c>
      <c r="G917">
        <v>491.3</v>
      </c>
    </row>
    <row r="918" spans="1:7" x14ac:dyDescent="0.25">
      <c r="A918" t="str">
        <f>_xlfn.XLOOKUP('Raw Data'!A918,$M$2:$M$11,$N$2:$N$11,,1)</f>
        <v>28 - 33</v>
      </c>
      <c r="B918" t="str">
        <f>_xlfn.XLOOKUP('Raw Data'!B918,$Q$2:$Q$9,$R$2:$R$9,,1)</f>
        <v>10 - 15</v>
      </c>
      <c r="C918">
        <v>4</v>
      </c>
      <c r="D918" t="str">
        <f>_xlfn.XLOOKUP('Raw Data'!D918,$V$2:$V$5,$W$2:$W$5,,1)</f>
        <v>15 - 19</v>
      </c>
      <c r="E918">
        <v>1991</v>
      </c>
      <c r="F918" t="str">
        <f>_xlfn.XLOOKUP('Raw Data'!F918,$Q$2:$Q$9,$R$2:$R$9,,1)</f>
        <v>30 - 35</v>
      </c>
      <c r="G918">
        <v>499.7</v>
      </c>
    </row>
    <row r="919" spans="1:7" x14ac:dyDescent="0.25">
      <c r="A919" t="str">
        <f>_xlfn.XLOOKUP('Raw Data'!A919,$M$2:$M$11,$N$2:$N$11,,1)</f>
        <v>38 - 43</v>
      </c>
      <c r="B919" t="str">
        <f>_xlfn.XLOOKUP('Raw Data'!B919,$Q$2:$Q$9,$R$2:$R$9,,1)</f>
        <v>0 - 5</v>
      </c>
      <c r="C919">
        <v>5</v>
      </c>
      <c r="D919" t="str">
        <f>_xlfn.XLOOKUP('Raw Data'!D919,$V$2:$V$5,$W$2:$W$5,,1)</f>
        <v>15 - 19</v>
      </c>
      <c r="E919">
        <v>1991</v>
      </c>
      <c r="F919" t="str">
        <f>_xlfn.XLOOKUP('Raw Data'!F919,$Q$2:$Q$9,$R$2:$R$9,,1)</f>
        <v>30 - 35</v>
      </c>
      <c r="G919">
        <v>503.45</v>
      </c>
    </row>
    <row r="920" spans="1:7" x14ac:dyDescent="0.25">
      <c r="A920" t="str">
        <f>_xlfn.XLOOKUP('Raw Data'!A920,$M$2:$M$11,$N$2:$N$11,,1)</f>
        <v>53 - 58</v>
      </c>
      <c r="B920" t="str">
        <f>_xlfn.XLOOKUP('Raw Data'!B920,$Q$2:$Q$9,$R$2:$R$9,,1)</f>
        <v>0 - 5</v>
      </c>
      <c r="C920">
        <v>3</v>
      </c>
      <c r="D920" t="str">
        <f>_xlfn.XLOOKUP('Raw Data'!D920,$V$2:$V$5,$W$2:$W$5,,1)</f>
        <v>15 - 19</v>
      </c>
      <c r="E920">
        <v>2025</v>
      </c>
      <c r="F920" t="str">
        <f>_xlfn.XLOOKUP('Raw Data'!F920,$Q$2:$Q$9,$R$2:$R$9,,1)</f>
        <v>0 - 5</v>
      </c>
      <c r="G920">
        <v>493.3</v>
      </c>
    </row>
    <row r="921" spans="1:7" x14ac:dyDescent="0.25">
      <c r="A921" t="str">
        <f>_xlfn.XLOOKUP('Raw Data'!A921,$M$2:$M$11,$N$2:$N$11,,1)</f>
        <v>43 - 48</v>
      </c>
      <c r="B921" t="str">
        <f>_xlfn.XLOOKUP('Raw Data'!B921,$Q$2:$Q$9,$R$2:$R$9,,1)</f>
        <v>15 - 20</v>
      </c>
      <c r="C921">
        <v>3</v>
      </c>
      <c r="D921" t="str">
        <f>_xlfn.XLOOKUP('Raw Data'!D921,$V$2:$V$5,$W$2:$W$5,,1)</f>
        <v>11 - 15</v>
      </c>
      <c r="E921">
        <v>2015</v>
      </c>
      <c r="F921" t="str">
        <f>_xlfn.XLOOKUP('Raw Data'!F921,$Q$2:$Q$9,$R$2:$R$9,,1)</f>
        <v>5 - 10</v>
      </c>
      <c r="G921">
        <v>491.55</v>
      </c>
    </row>
    <row r="922" spans="1:7" x14ac:dyDescent="0.25">
      <c r="A922" t="str">
        <f>_xlfn.XLOOKUP('Raw Data'!A922,$M$2:$M$11,$N$2:$N$11,,1)</f>
        <v>23 - 28</v>
      </c>
      <c r="B922" t="str">
        <f>_xlfn.XLOOKUP('Raw Data'!B922,$Q$2:$Q$9,$R$2:$R$9,,1)</f>
        <v>5 - 10</v>
      </c>
      <c r="C922">
        <v>5</v>
      </c>
      <c r="D922" t="str">
        <f>_xlfn.XLOOKUP('Raw Data'!D922,$V$2:$V$5,$W$2:$W$5,,1)</f>
        <v>19 - 23</v>
      </c>
      <c r="E922">
        <v>2000</v>
      </c>
      <c r="F922" t="str">
        <f>_xlfn.XLOOKUP('Raw Data'!F922,$Q$2:$Q$9,$R$2:$R$9,,1)</f>
        <v>20 - 25</v>
      </c>
      <c r="G922">
        <v>503.6</v>
      </c>
    </row>
    <row r="923" spans="1:7" x14ac:dyDescent="0.25">
      <c r="A923" t="str">
        <f>_xlfn.XLOOKUP('Raw Data'!A923,$M$2:$M$11,$N$2:$N$11,,1)</f>
        <v>53 - 58</v>
      </c>
      <c r="B923" t="str">
        <f>_xlfn.XLOOKUP('Raw Data'!B923,$Q$2:$Q$9,$R$2:$R$9,,1)</f>
        <v>10 - 15</v>
      </c>
      <c r="C923">
        <v>2</v>
      </c>
      <c r="D923" t="str">
        <f>_xlfn.XLOOKUP('Raw Data'!D923,$V$2:$V$5,$W$2:$W$5,,1)</f>
        <v>15 - 19</v>
      </c>
      <c r="E923">
        <v>1997</v>
      </c>
      <c r="F923" t="str">
        <f>_xlfn.XLOOKUP('Raw Data'!F923,$Q$2:$Q$9,$R$2:$R$9,,1)</f>
        <v>25 - 30</v>
      </c>
      <c r="G923">
        <v>492.25</v>
      </c>
    </row>
    <row r="924" spans="1:7" x14ac:dyDescent="0.25">
      <c r="A924" t="str">
        <f>_xlfn.XLOOKUP('Raw Data'!A924,$M$2:$M$11,$N$2:$N$11,,1)</f>
        <v>33 - 38</v>
      </c>
      <c r="B924" t="str">
        <f>_xlfn.XLOOKUP('Raw Data'!B924,$Q$2:$Q$9,$R$2:$R$9,,1)</f>
        <v>0 - 5</v>
      </c>
      <c r="C924">
        <v>4</v>
      </c>
      <c r="D924" t="str">
        <f>_xlfn.XLOOKUP('Raw Data'!D924,$V$2:$V$5,$W$2:$W$5,,1)</f>
        <v>19 - 23</v>
      </c>
      <c r="E924">
        <v>2011</v>
      </c>
      <c r="F924" t="str">
        <f>_xlfn.XLOOKUP('Raw Data'!F924,$Q$2:$Q$9,$R$2:$R$9,,1)</f>
        <v>10 - 15</v>
      </c>
      <c r="G924">
        <v>501.75</v>
      </c>
    </row>
    <row r="925" spans="1:7" x14ac:dyDescent="0.25">
      <c r="A925" t="str">
        <f>_xlfn.XLOOKUP('Raw Data'!A925,$M$2:$M$11,$N$2:$N$11,,1)</f>
        <v>53 - 58</v>
      </c>
      <c r="B925" t="str">
        <f>_xlfn.XLOOKUP('Raw Data'!B925,$Q$2:$Q$9,$R$2:$R$9,,1)</f>
        <v>15 - 20</v>
      </c>
      <c r="C925">
        <v>0</v>
      </c>
      <c r="D925" t="str">
        <f>_xlfn.XLOOKUP('Raw Data'!D925,$V$2:$V$5,$W$2:$W$5,,1)</f>
        <v>19 - 23</v>
      </c>
      <c r="E925">
        <v>2009</v>
      </c>
      <c r="F925" t="str">
        <f>_xlfn.XLOOKUP('Raw Data'!F925,$Q$2:$Q$9,$R$2:$R$9,,1)</f>
        <v>15 - 20</v>
      </c>
      <c r="G925">
        <v>485.8</v>
      </c>
    </row>
    <row r="926" spans="1:7" x14ac:dyDescent="0.25">
      <c r="A926" t="str">
        <f>_xlfn.XLOOKUP('Raw Data'!A926,$M$2:$M$11,$N$2:$N$11,,1)</f>
        <v>38 - 43</v>
      </c>
      <c r="B926" t="str">
        <f>_xlfn.XLOOKUP('Raw Data'!B926,$Q$2:$Q$9,$R$2:$R$9,,1)</f>
        <v>20 - 25</v>
      </c>
      <c r="C926">
        <v>1</v>
      </c>
      <c r="D926" t="str">
        <f>_xlfn.XLOOKUP('Raw Data'!D926,$V$2:$V$5,$W$2:$W$5,,1)</f>
        <v>19 - 23</v>
      </c>
      <c r="E926">
        <v>1997</v>
      </c>
      <c r="F926" t="str">
        <f>_xlfn.XLOOKUP('Raw Data'!F926,$Q$2:$Q$9,$R$2:$R$9,,1)</f>
        <v>25 - 30</v>
      </c>
      <c r="G926">
        <v>491.25</v>
      </c>
    </row>
    <row r="927" spans="1:7" x14ac:dyDescent="0.25">
      <c r="A927" t="str">
        <f>_xlfn.XLOOKUP('Raw Data'!A927,$M$2:$M$11,$N$2:$N$11,,1)</f>
        <v>38 - 43</v>
      </c>
      <c r="B927" t="str">
        <f>_xlfn.XLOOKUP('Raw Data'!B927,$Q$2:$Q$9,$R$2:$R$9,,1)</f>
        <v>20 - 25</v>
      </c>
      <c r="C927">
        <v>3</v>
      </c>
      <c r="D927" t="str">
        <f>_xlfn.XLOOKUP('Raw Data'!D927,$V$2:$V$5,$W$2:$W$5,,1)</f>
        <v>15 - 19</v>
      </c>
      <c r="E927">
        <v>2018</v>
      </c>
      <c r="F927" t="str">
        <f>_xlfn.XLOOKUP('Raw Data'!F927,$Q$2:$Q$9,$R$2:$R$9,,1)</f>
        <v>5 - 10</v>
      </c>
      <c r="G927">
        <v>490.05</v>
      </c>
    </row>
    <row r="928" spans="1:7" x14ac:dyDescent="0.25">
      <c r="A928" t="str">
        <f>_xlfn.XLOOKUP('Raw Data'!A928,$M$2:$M$11,$N$2:$N$11,,1)</f>
        <v>58 - 63</v>
      </c>
      <c r="B928" t="str">
        <f>_xlfn.XLOOKUP('Raw Data'!B928,$Q$2:$Q$9,$R$2:$R$9,,1)</f>
        <v>35 - 40</v>
      </c>
      <c r="C928">
        <v>1</v>
      </c>
      <c r="D928" t="str">
        <f>_xlfn.XLOOKUP('Raw Data'!D928,$V$2:$V$5,$W$2:$W$5,,1)</f>
        <v>11 - 15</v>
      </c>
      <c r="E928">
        <v>2015</v>
      </c>
      <c r="F928" t="str">
        <f>_xlfn.XLOOKUP('Raw Data'!F928,$Q$2:$Q$9,$R$2:$R$9,,1)</f>
        <v>5 - 10</v>
      </c>
      <c r="G928">
        <v>480.05</v>
      </c>
    </row>
    <row r="929" spans="1:7" x14ac:dyDescent="0.25">
      <c r="A929" t="str">
        <f>_xlfn.XLOOKUP('Raw Data'!A929,$M$2:$M$11,$N$2:$N$11,,1)</f>
        <v>38 - 43</v>
      </c>
      <c r="B929" t="str">
        <f>_xlfn.XLOOKUP('Raw Data'!B929,$Q$2:$Q$9,$R$2:$R$9,,1)</f>
        <v>10 - 15</v>
      </c>
      <c r="C929">
        <v>0</v>
      </c>
      <c r="D929" t="str">
        <f>_xlfn.XLOOKUP('Raw Data'!D929,$V$2:$V$5,$W$2:$W$5,,1)</f>
        <v>19 - 23</v>
      </c>
      <c r="E929">
        <v>2019</v>
      </c>
      <c r="F929" t="str">
        <f>_xlfn.XLOOKUP('Raw Data'!F929,$Q$2:$Q$9,$R$2:$R$9,,1)</f>
        <v>5 - 10</v>
      </c>
      <c r="G929">
        <v>489.95</v>
      </c>
    </row>
    <row r="930" spans="1:7" x14ac:dyDescent="0.25">
      <c r="A930" t="str">
        <f>_xlfn.XLOOKUP('Raw Data'!A930,$M$2:$M$11,$N$2:$N$11,,1)</f>
        <v>33 - 38</v>
      </c>
      <c r="B930" t="str">
        <f>_xlfn.XLOOKUP('Raw Data'!B930,$Q$2:$Q$9,$R$2:$R$9,,1)</f>
        <v>15 - 20</v>
      </c>
      <c r="C930">
        <v>1</v>
      </c>
      <c r="D930" t="str">
        <f>_xlfn.XLOOKUP('Raw Data'!D930,$V$2:$V$5,$W$2:$W$5,,1)</f>
        <v>11 - 15</v>
      </c>
      <c r="E930">
        <v>2006</v>
      </c>
      <c r="F930" t="str">
        <f>_xlfn.XLOOKUP('Raw Data'!F930,$Q$2:$Q$9,$R$2:$R$9,,1)</f>
        <v>15 - 20</v>
      </c>
      <c r="G930">
        <v>492.45</v>
      </c>
    </row>
    <row r="931" spans="1:7" x14ac:dyDescent="0.25">
      <c r="A931" t="str">
        <f>_xlfn.XLOOKUP('Raw Data'!A931,$M$2:$M$11,$N$2:$N$11,,1)</f>
        <v>28 - 33</v>
      </c>
      <c r="B931" t="str">
        <f>_xlfn.XLOOKUP('Raw Data'!B931,$Q$2:$Q$9,$R$2:$R$9,,1)</f>
        <v>10 - 15</v>
      </c>
      <c r="C931">
        <v>0</v>
      </c>
      <c r="D931" t="str">
        <f>_xlfn.XLOOKUP('Raw Data'!D931,$V$2:$V$5,$W$2:$W$5,,1)</f>
        <v>15 - 19</v>
      </c>
      <c r="E931">
        <v>2009</v>
      </c>
      <c r="F931" t="str">
        <f>_xlfn.XLOOKUP('Raw Data'!F931,$Q$2:$Q$9,$R$2:$R$9,,1)</f>
        <v>15 - 20</v>
      </c>
      <c r="G931">
        <v>492.95</v>
      </c>
    </row>
    <row r="932" spans="1:7" x14ac:dyDescent="0.25">
      <c r="A932" t="str">
        <f>_xlfn.XLOOKUP('Raw Data'!A932,$M$2:$M$11,$N$2:$N$11,,1)</f>
        <v>33 - 38</v>
      </c>
      <c r="B932" t="str">
        <f>_xlfn.XLOOKUP('Raw Data'!B932,$Q$2:$Q$9,$R$2:$R$9,,1)</f>
        <v>10 - 15</v>
      </c>
      <c r="C932">
        <v>5</v>
      </c>
      <c r="D932" t="str">
        <f>_xlfn.XLOOKUP('Raw Data'!D932,$V$2:$V$5,$W$2:$W$5,,1)</f>
        <v>19 - 23</v>
      </c>
      <c r="E932">
        <v>2005</v>
      </c>
      <c r="F932" t="str">
        <f>_xlfn.XLOOKUP('Raw Data'!F932,$Q$2:$Q$9,$R$2:$R$9,,1)</f>
        <v>15 - 20</v>
      </c>
      <c r="G932">
        <v>498.95</v>
      </c>
    </row>
    <row r="933" spans="1:7" x14ac:dyDescent="0.25">
      <c r="A933" t="str">
        <f>_xlfn.XLOOKUP('Raw Data'!A933,$M$2:$M$11,$N$2:$N$11,,1)</f>
        <v>38 - 43</v>
      </c>
      <c r="B933" t="str">
        <f>_xlfn.XLOOKUP('Raw Data'!B933,$Q$2:$Q$9,$R$2:$R$9,,1)</f>
        <v>0 - 5</v>
      </c>
      <c r="C933">
        <v>2</v>
      </c>
      <c r="D933" t="str">
        <f>_xlfn.XLOOKUP('Raw Data'!D933,$V$2:$V$5,$W$2:$W$5,,1)</f>
        <v>11 - 15</v>
      </c>
      <c r="E933">
        <v>1996</v>
      </c>
      <c r="F933" t="str">
        <f>_xlfn.XLOOKUP('Raw Data'!F933,$Q$2:$Q$9,$R$2:$R$9,,1)</f>
        <v>25 - 30</v>
      </c>
      <c r="G933">
        <v>496.6</v>
      </c>
    </row>
    <row r="934" spans="1:7" x14ac:dyDescent="0.25">
      <c r="A934" t="str">
        <f>_xlfn.XLOOKUP('Raw Data'!A934,$M$2:$M$11,$N$2:$N$11,,1)</f>
        <v>18 - 23</v>
      </c>
      <c r="B934" t="str">
        <f>_xlfn.XLOOKUP('Raw Data'!B934,$Q$2:$Q$9,$R$2:$R$9,,1)</f>
        <v>0 - 5</v>
      </c>
      <c r="C934">
        <v>3</v>
      </c>
      <c r="D934" t="str">
        <f>_xlfn.XLOOKUP('Raw Data'!D934,$V$2:$V$5,$W$2:$W$5,,1)</f>
        <v>19 - 23</v>
      </c>
      <c r="E934">
        <v>2005</v>
      </c>
      <c r="F934" t="str">
        <f>_xlfn.XLOOKUP('Raw Data'!F934,$Q$2:$Q$9,$R$2:$R$9,,1)</f>
        <v>15 - 20</v>
      </c>
      <c r="G934">
        <v>502.5</v>
      </c>
    </row>
    <row r="935" spans="1:7" x14ac:dyDescent="0.25">
      <c r="A935" t="str">
        <f>_xlfn.XLOOKUP('Raw Data'!A935,$M$2:$M$11,$N$2:$N$11,,1)</f>
        <v>23 - 28</v>
      </c>
      <c r="B935" t="str">
        <f>_xlfn.XLOOKUP('Raw Data'!B935,$Q$2:$Q$9,$R$2:$R$9,,1)</f>
        <v>5 - 10</v>
      </c>
      <c r="C935">
        <v>0</v>
      </c>
      <c r="D935" t="str">
        <f>_xlfn.XLOOKUP('Raw Data'!D935,$V$2:$V$5,$W$2:$W$5,,1)</f>
        <v>11 - 15</v>
      </c>
      <c r="E935">
        <v>2016</v>
      </c>
      <c r="F935" t="str">
        <f>_xlfn.XLOOKUP('Raw Data'!F935,$Q$2:$Q$9,$R$2:$R$9,,1)</f>
        <v>5 - 10</v>
      </c>
      <c r="G935">
        <v>493.5</v>
      </c>
    </row>
    <row r="936" spans="1:7" x14ac:dyDescent="0.25">
      <c r="A936" t="str">
        <f>_xlfn.XLOOKUP('Raw Data'!A936,$M$2:$M$11,$N$2:$N$11,,1)</f>
        <v>18 - 23</v>
      </c>
      <c r="B936" t="str">
        <f>_xlfn.XLOOKUP('Raw Data'!B936,$Q$2:$Q$9,$R$2:$R$9,,1)</f>
        <v>0 - 5</v>
      </c>
      <c r="C936">
        <v>1</v>
      </c>
      <c r="D936" t="str">
        <f>_xlfn.XLOOKUP('Raw Data'!D936,$V$2:$V$5,$W$2:$W$5,,1)</f>
        <v>11 - 15</v>
      </c>
      <c r="E936">
        <v>2012</v>
      </c>
      <c r="F936" t="str">
        <f>_xlfn.XLOOKUP('Raw Data'!F936,$Q$2:$Q$9,$R$2:$R$9,,1)</f>
        <v>10 - 15</v>
      </c>
      <c r="G936">
        <v>499.2</v>
      </c>
    </row>
    <row r="937" spans="1:7" x14ac:dyDescent="0.25">
      <c r="A937" t="str">
        <f>_xlfn.XLOOKUP('Raw Data'!A937,$M$2:$M$11,$N$2:$N$11,,1)</f>
        <v>53 - 58</v>
      </c>
      <c r="B937" t="str">
        <f>_xlfn.XLOOKUP('Raw Data'!B937,$Q$2:$Q$9,$R$2:$R$9,,1)</f>
        <v>5 - 10</v>
      </c>
      <c r="C937">
        <v>3</v>
      </c>
      <c r="D937" t="str">
        <f>_xlfn.XLOOKUP('Raw Data'!D937,$V$2:$V$5,$W$2:$W$5,,1)</f>
        <v>11 - 15</v>
      </c>
      <c r="E937">
        <v>2013</v>
      </c>
      <c r="F937" t="str">
        <f>_xlfn.XLOOKUP('Raw Data'!F937,$Q$2:$Q$9,$R$2:$R$9,,1)</f>
        <v>10 - 15</v>
      </c>
      <c r="G937">
        <v>492.3</v>
      </c>
    </row>
    <row r="938" spans="1:7" x14ac:dyDescent="0.25">
      <c r="A938" t="str">
        <f>_xlfn.XLOOKUP('Raw Data'!A938,$M$2:$M$11,$N$2:$N$11,,1)</f>
        <v>58 - 63</v>
      </c>
      <c r="B938" t="str">
        <f>_xlfn.XLOOKUP('Raw Data'!B938,$Q$2:$Q$9,$R$2:$R$9,,1)</f>
        <v>35 - 40</v>
      </c>
      <c r="C938">
        <v>2</v>
      </c>
      <c r="D938" t="str">
        <f>_xlfn.XLOOKUP('Raw Data'!D938,$V$2:$V$5,$W$2:$W$5,,1)</f>
        <v>23 - 27</v>
      </c>
      <c r="E938">
        <v>1998</v>
      </c>
      <c r="F938" t="str">
        <f>_xlfn.XLOOKUP('Raw Data'!F938,$Q$2:$Q$9,$R$2:$R$9,,1)</f>
        <v>25 - 30</v>
      </c>
      <c r="G938">
        <v>483.75</v>
      </c>
    </row>
    <row r="939" spans="1:7" x14ac:dyDescent="0.25">
      <c r="A939" t="str">
        <f>_xlfn.XLOOKUP('Raw Data'!A939,$M$2:$M$11,$N$2:$N$11,,1)</f>
        <v>33 - 38</v>
      </c>
      <c r="B939" t="str">
        <f>_xlfn.XLOOKUP('Raw Data'!B939,$Q$2:$Q$9,$R$2:$R$9,,1)</f>
        <v>15 - 20</v>
      </c>
      <c r="C939">
        <v>5</v>
      </c>
      <c r="D939" t="str">
        <f>_xlfn.XLOOKUP('Raw Data'!D939,$V$2:$V$5,$W$2:$W$5,,1)</f>
        <v>11 - 15</v>
      </c>
      <c r="E939">
        <v>2024</v>
      </c>
      <c r="F939" t="str">
        <f>_xlfn.XLOOKUP('Raw Data'!F939,$Q$2:$Q$9,$R$2:$R$9,,1)</f>
        <v>0 - 5</v>
      </c>
      <c r="G939">
        <v>496.15</v>
      </c>
    </row>
    <row r="940" spans="1:7" x14ac:dyDescent="0.25">
      <c r="A940" t="str">
        <f>_xlfn.XLOOKUP('Raw Data'!A940,$M$2:$M$11,$N$2:$N$11,,1)</f>
        <v>63 - 68</v>
      </c>
      <c r="B940" t="str">
        <f>_xlfn.XLOOKUP('Raw Data'!B940,$Q$2:$Q$9,$R$2:$R$9,,1)</f>
        <v>20 - 25</v>
      </c>
      <c r="C940">
        <v>3</v>
      </c>
      <c r="D940" t="str">
        <f>_xlfn.XLOOKUP('Raw Data'!D940,$V$2:$V$5,$W$2:$W$5,,1)</f>
        <v>19 - 23</v>
      </c>
      <c r="E940">
        <v>2009</v>
      </c>
      <c r="F940" t="str">
        <f>_xlfn.XLOOKUP('Raw Data'!F940,$Q$2:$Q$9,$R$2:$R$9,,1)</f>
        <v>15 - 20</v>
      </c>
      <c r="G940">
        <v>486.95</v>
      </c>
    </row>
    <row r="941" spans="1:7" x14ac:dyDescent="0.25">
      <c r="A941" t="str">
        <f>_xlfn.XLOOKUP('Raw Data'!A941,$M$2:$M$11,$N$2:$N$11,,1)</f>
        <v>48 - 53</v>
      </c>
      <c r="B941" t="str">
        <f>_xlfn.XLOOKUP('Raw Data'!B941,$Q$2:$Q$9,$R$2:$R$9,,1)</f>
        <v>25 - 30</v>
      </c>
      <c r="C941">
        <v>0</v>
      </c>
      <c r="D941" t="str">
        <f>_xlfn.XLOOKUP('Raw Data'!D941,$V$2:$V$5,$W$2:$W$5,,1)</f>
        <v>11 - 15</v>
      </c>
      <c r="E941">
        <v>2006</v>
      </c>
      <c r="F941" t="str">
        <f>_xlfn.XLOOKUP('Raw Data'!F941,$Q$2:$Q$9,$R$2:$R$9,,1)</f>
        <v>15 - 20</v>
      </c>
      <c r="G941">
        <v>483.55</v>
      </c>
    </row>
    <row r="942" spans="1:7" x14ac:dyDescent="0.25">
      <c r="A942" t="str">
        <f>_xlfn.XLOOKUP('Raw Data'!A942,$M$2:$M$11,$N$2:$N$11,,1)</f>
        <v>63 - 68</v>
      </c>
      <c r="B942" t="str">
        <f>_xlfn.XLOOKUP('Raw Data'!B942,$Q$2:$Q$9,$R$2:$R$9,,1)</f>
        <v>0 - 5</v>
      </c>
      <c r="C942">
        <v>2</v>
      </c>
      <c r="D942" t="str">
        <f>_xlfn.XLOOKUP('Raw Data'!D942,$V$2:$V$5,$W$2:$W$5,,1)</f>
        <v>11 - 15</v>
      </c>
      <c r="E942">
        <v>2020</v>
      </c>
      <c r="F942" t="str">
        <f>_xlfn.XLOOKUP('Raw Data'!F942,$Q$2:$Q$9,$R$2:$R$9,,1)</f>
        <v>0 - 5</v>
      </c>
      <c r="G942">
        <v>491.25</v>
      </c>
    </row>
    <row r="943" spans="1:7" x14ac:dyDescent="0.25">
      <c r="A943" t="str">
        <f>_xlfn.XLOOKUP('Raw Data'!A943,$M$2:$M$11,$N$2:$N$11,,1)</f>
        <v>38 - 43</v>
      </c>
      <c r="B943" t="str">
        <f>_xlfn.XLOOKUP('Raw Data'!B943,$Q$2:$Q$9,$R$2:$R$9,,1)</f>
        <v>20 - 25</v>
      </c>
      <c r="C943">
        <v>1</v>
      </c>
      <c r="D943" t="str">
        <f>_xlfn.XLOOKUP('Raw Data'!D943,$V$2:$V$5,$W$2:$W$5,,1)</f>
        <v>15 - 19</v>
      </c>
      <c r="E943">
        <v>1997</v>
      </c>
      <c r="F943" t="str">
        <f>_xlfn.XLOOKUP('Raw Data'!F943,$Q$2:$Q$9,$R$2:$R$9,,1)</f>
        <v>25 - 30</v>
      </c>
      <c r="G943">
        <v>491</v>
      </c>
    </row>
    <row r="944" spans="1:7" x14ac:dyDescent="0.25">
      <c r="A944" t="str">
        <f>_xlfn.XLOOKUP('Raw Data'!A944,$M$2:$M$11,$N$2:$N$11,,1)</f>
        <v>48 - 53</v>
      </c>
      <c r="B944" t="str">
        <f>_xlfn.XLOOKUP('Raw Data'!B944,$Q$2:$Q$9,$R$2:$R$9,,1)</f>
        <v>0 - 5</v>
      </c>
      <c r="C944">
        <v>2</v>
      </c>
      <c r="D944" t="str">
        <f>_xlfn.XLOOKUP('Raw Data'!D944,$V$2:$V$5,$W$2:$W$5,,1)</f>
        <v>15 - 19</v>
      </c>
      <c r="E944">
        <v>2004</v>
      </c>
      <c r="F944" t="str">
        <f>_xlfn.XLOOKUP('Raw Data'!F944,$Q$2:$Q$9,$R$2:$R$9,,1)</f>
        <v>20 - 25</v>
      </c>
      <c r="G944">
        <v>494.3</v>
      </c>
    </row>
    <row r="945" spans="1:7" x14ac:dyDescent="0.25">
      <c r="A945" t="str">
        <f>_xlfn.XLOOKUP('Raw Data'!A945,$M$2:$M$11,$N$2:$N$11,,1)</f>
        <v>63 - 68</v>
      </c>
      <c r="B945" t="str">
        <f>_xlfn.XLOOKUP('Raw Data'!B945,$Q$2:$Q$9,$R$2:$R$9,,1)</f>
        <v>35 - 40</v>
      </c>
      <c r="C945">
        <v>2</v>
      </c>
      <c r="D945" t="str">
        <f>_xlfn.XLOOKUP('Raw Data'!D945,$V$2:$V$5,$W$2:$W$5,,1)</f>
        <v>19 - 23</v>
      </c>
      <c r="E945">
        <v>2020</v>
      </c>
      <c r="F945" t="str">
        <f>_xlfn.XLOOKUP('Raw Data'!F945,$Q$2:$Q$9,$R$2:$R$9,,1)</f>
        <v>0 - 5</v>
      </c>
      <c r="G945">
        <v>481</v>
      </c>
    </row>
    <row r="946" spans="1:7" x14ac:dyDescent="0.25">
      <c r="A946" t="str">
        <f>_xlfn.XLOOKUP('Raw Data'!A946,$M$2:$M$11,$N$2:$N$11,,1)</f>
        <v>23 - 28</v>
      </c>
      <c r="B946" t="str">
        <f>_xlfn.XLOOKUP('Raw Data'!B946,$Q$2:$Q$9,$R$2:$R$9,,1)</f>
        <v>0 - 5</v>
      </c>
      <c r="C946">
        <v>4</v>
      </c>
      <c r="D946" t="str">
        <f>_xlfn.XLOOKUP('Raw Data'!D946,$V$2:$V$5,$W$2:$W$5,,1)</f>
        <v>11 - 15</v>
      </c>
      <c r="E946">
        <v>2019</v>
      </c>
      <c r="F946" t="str">
        <f>_xlfn.XLOOKUP('Raw Data'!F946,$Q$2:$Q$9,$R$2:$R$9,,1)</f>
        <v>5 - 10</v>
      </c>
      <c r="G946">
        <v>501.05</v>
      </c>
    </row>
    <row r="947" spans="1:7" x14ac:dyDescent="0.25">
      <c r="A947" t="str">
        <f>_xlfn.XLOOKUP('Raw Data'!A947,$M$2:$M$11,$N$2:$N$11,,1)</f>
        <v>53 - 58</v>
      </c>
      <c r="B947" t="str">
        <f>_xlfn.XLOOKUP('Raw Data'!B947,$Q$2:$Q$9,$R$2:$R$9,,1)</f>
        <v>30 - 35</v>
      </c>
      <c r="C947">
        <v>2</v>
      </c>
      <c r="D947" t="str">
        <f>_xlfn.XLOOKUP('Raw Data'!D947,$V$2:$V$5,$W$2:$W$5,,1)</f>
        <v>11 - 15</v>
      </c>
      <c r="E947">
        <v>2009</v>
      </c>
      <c r="F947" t="str">
        <f>_xlfn.XLOOKUP('Raw Data'!F947,$Q$2:$Q$9,$R$2:$R$9,,1)</f>
        <v>15 - 20</v>
      </c>
      <c r="G947">
        <v>484.35</v>
      </c>
    </row>
    <row r="948" spans="1:7" x14ac:dyDescent="0.25">
      <c r="A948" t="str">
        <f>_xlfn.XLOOKUP('Raw Data'!A948,$M$2:$M$11,$N$2:$N$11,,1)</f>
        <v>58 - 63</v>
      </c>
      <c r="B948" t="str">
        <f>_xlfn.XLOOKUP('Raw Data'!B948,$Q$2:$Q$9,$R$2:$R$9,,1)</f>
        <v>10 - 15</v>
      </c>
      <c r="C948">
        <v>2</v>
      </c>
      <c r="D948" t="str">
        <f>_xlfn.XLOOKUP('Raw Data'!D948,$V$2:$V$5,$W$2:$W$5,,1)</f>
        <v>11 - 15</v>
      </c>
      <c r="E948">
        <v>2001</v>
      </c>
      <c r="F948" t="str">
        <f>_xlfn.XLOOKUP('Raw Data'!F948,$Q$2:$Q$9,$R$2:$R$9,,1)</f>
        <v>20 - 25</v>
      </c>
      <c r="G948">
        <v>489.85</v>
      </c>
    </row>
    <row r="949" spans="1:7" x14ac:dyDescent="0.25">
      <c r="A949" t="str">
        <f>_xlfn.XLOOKUP('Raw Data'!A949,$M$2:$M$11,$N$2:$N$11,,1)</f>
        <v>33 - 38</v>
      </c>
      <c r="B949" t="str">
        <f>_xlfn.XLOOKUP('Raw Data'!B949,$Q$2:$Q$9,$R$2:$R$9,,1)</f>
        <v>10 - 15</v>
      </c>
      <c r="C949">
        <v>3</v>
      </c>
      <c r="D949" t="str">
        <f>_xlfn.XLOOKUP('Raw Data'!D949,$V$2:$V$5,$W$2:$W$5,,1)</f>
        <v>19 - 23</v>
      </c>
      <c r="E949">
        <v>2006</v>
      </c>
      <c r="F949" t="str">
        <f>_xlfn.XLOOKUP('Raw Data'!F949,$Q$2:$Q$9,$R$2:$R$9,,1)</f>
        <v>15 - 20</v>
      </c>
      <c r="G949">
        <v>496.9</v>
      </c>
    </row>
    <row r="950" spans="1:7" x14ac:dyDescent="0.25">
      <c r="A950" t="str">
        <f>_xlfn.XLOOKUP('Raw Data'!A950,$M$2:$M$11,$N$2:$N$11,,1)</f>
        <v>58 - 63</v>
      </c>
      <c r="B950" t="str">
        <f>_xlfn.XLOOKUP('Raw Data'!B950,$Q$2:$Q$9,$R$2:$R$9,,1)</f>
        <v>15 - 20</v>
      </c>
      <c r="C950">
        <v>1</v>
      </c>
      <c r="D950" t="str">
        <f>_xlfn.XLOOKUP('Raw Data'!D950,$V$2:$V$5,$W$2:$W$5,,1)</f>
        <v>15 - 19</v>
      </c>
      <c r="E950">
        <v>2019</v>
      </c>
      <c r="F950" t="str">
        <f>_xlfn.XLOOKUP('Raw Data'!F950,$Q$2:$Q$9,$R$2:$R$9,,1)</f>
        <v>5 - 10</v>
      </c>
      <c r="G950">
        <v>485.45</v>
      </c>
    </row>
    <row r="951" spans="1:7" x14ac:dyDescent="0.25">
      <c r="A951" t="str">
        <f>_xlfn.XLOOKUP('Raw Data'!A951,$M$2:$M$11,$N$2:$N$11,,1)</f>
        <v>53 - 58</v>
      </c>
      <c r="B951" t="str">
        <f>_xlfn.XLOOKUP('Raw Data'!B951,$Q$2:$Q$9,$R$2:$R$9,,1)</f>
        <v>20 - 25</v>
      </c>
      <c r="C951">
        <v>3</v>
      </c>
      <c r="D951" t="str">
        <f>_xlfn.XLOOKUP('Raw Data'!D951,$V$2:$V$5,$W$2:$W$5,,1)</f>
        <v>19 - 23</v>
      </c>
      <c r="E951">
        <v>2018</v>
      </c>
      <c r="F951" t="str">
        <f>_xlfn.XLOOKUP('Raw Data'!F951,$Q$2:$Q$9,$R$2:$R$9,,1)</f>
        <v>5 - 10</v>
      </c>
      <c r="G951">
        <v>487.7</v>
      </c>
    </row>
    <row r="952" spans="1:7" x14ac:dyDescent="0.25">
      <c r="A952" t="str">
        <f>_xlfn.XLOOKUP('Raw Data'!A952,$M$2:$M$11,$N$2:$N$11,,1)</f>
        <v>53 - 58</v>
      </c>
      <c r="B952" t="str">
        <f>_xlfn.XLOOKUP('Raw Data'!B952,$Q$2:$Q$9,$R$2:$R$9,,1)</f>
        <v>30 - 35</v>
      </c>
      <c r="C952">
        <v>3</v>
      </c>
      <c r="D952" t="str">
        <f>_xlfn.XLOOKUP('Raw Data'!D952,$V$2:$V$5,$W$2:$W$5,,1)</f>
        <v>19 - 23</v>
      </c>
      <c r="E952">
        <v>2008</v>
      </c>
      <c r="F952" t="str">
        <f>_xlfn.XLOOKUP('Raw Data'!F952,$Q$2:$Q$9,$R$2:$R$9,,1)</f>
        <v>15 - 20</v>
      </c>
      <c r="G952">
        <v>486.65</v>
      </c>
    </row>
    <row r="953" spans="1:7" x14ac:dyDescent="0.25">
      <c r="A953" t="str">
        <f>_xlfn.XLOOKUP('Raw Data'!A953,$M$2:$M$11,$N$2:$N$11,,1)</f>
        <v>18 - 23</v>
      </c>
      <c r="B953" t="str">
        <f>_xlfn.XLOOKUP('Raw Data'!B953,$Q$2:$Q$9,$R$2:$R$9,,1)</f>
        <v>0 - 5</v>
      </c>
      <c r="C953">
        <v>0</v>
      </c>
      <c r="D953" t="str">
        <f>_xlfn.XLOOKUP('Raw Data'!D953,$V$2:$V$5,$W$2:$W$5,,1)</f>
        <v>11 - 15</v>
      </c>
      <c r="E953">
        <v>2000</v>
      </c>
      <c r="F953" t="str">
        <f>_xlfn.XLOOKUP('Raw Data'!F953,$Q$2:$Q$9,$R$2:$R$9,,1)</f>
        <v>20 - 25</v>
      </c>
      <c r="G953">
        <v>496.95</v>
      </c>
    </row>
    <row r="954" spans="1:7" x14ac:dyDescent="0.25">
      <c r="A954" t="str">
        <f>_xlfn.XLOOKUP('Raw Data'!A954,$M$2:$M$11,$N$2:$N$11,,1)</f>
        <v>38 - 43</v>
      </c>
      <c r="B954" t="str">
        <f>_xlfn.XLOOKUP('Raw Data'!B954,$Q$2:$Q$9,$R$2:$R$9,,1)</f>
        <v>20 - 25</v>
      </c>
      <c r="C954">
        <v>3</v>
      </c>
      <c r="D954" t="str">
        <f>_xlfn.XLOOKUP('Raw Data'!D954,$V$2:$V$5,$W$2:$W$5,,1)</f>
        <v>19 - 23</v>
      </c>
      <c r="E954">
        <v>2023</v>
      </c>
      <c r="F954" t="str">
        <f>_xlfn.XLOOKUP('Raw Data'!F954,$Q$2:$Q$9,$R$2:$R$9,,1)</f>
        <v>0 - 5</v>
      </c>
      <c r="G954">
        <v>489.7</v>
      </c>
    </row>
    <row r="955" spans="1:7" x14ac:dyDescent="0.25">
      <c r="A955" t="str">
        <f>_xlfn.XLOOKUP('Raw Data'!A955,$M$2:$M$11,$N$2:$N$11,,1)</f>
        <v>48 - 53</v>
      </c>
      <c r="B955" t="str">
        <f>_xlfn.XLOOKUP('Raw Data'!B955,$Q$2:$Q$9,$R$2:$R$9,,1)</f>
        <v>30 - 35</v>
      </c>
      <c r="C955">
        <v>4</v>
      </c>
      <c r="D955" t="str">
        <f>_xlfn.XLOOKUP('Raw Data'!D955,$V$2:$V$5,$W$2:$W$5,,1)</f>
        <v>19 - 23</v>
      </c>
      <c r="E955">
        <v>1996</v>
      </c>
      <c r="F955" t="str">
        <f>_xlfn.XLOOKUP('Raw Data'!F955,$Q$2:$Q$9,$R$2:$R$9,,1)</f>
        <v>25 - 30</v>
      </c>
      <c r="G955">
        <v>489.85</v>
      </c>
    </row>
    <row r="956" spans="1:7" x14ac:dyDescent="0.25">
      <c r="A956" t="str">
        <f>_xlfn.XLOOKUP('Raw Data'!A956,$M$2:$M$11,$N$2:$N$11,,1)</f>
        <v>58 - 63</v>
      </c>
      <c r="B956" t="str">
        <f>_xlfn.XLOOKUP('Raw Data'!B956,$Q$2:$Q$9,$R$2:$R$9,,1)</f>
        <v>25 - 30</v>
      </c>
      <c r="C956">
        <v>4</v>
      </c>
      <c r="D956" t="str">
        <f>_xlfn.XLOOKUP('Raw Data'!D956,$V$2:$V$5,$W$2:$W$5,,1)</f>
        <v>15 - 19</v>
      </c>
      <c r="E956">
        <v>2023</v>
      </c>
      <c r="F956" t="str">
        <f>_xlfn.XLOOKUP('Raw Data'!F956,$Q$2:$Q$9,$R$2:$R$9,,1)</f>
        <v>0 - 5</v>
      </c>
      <c r="G956">
        <v>485.75</v>
      </c>
    </row>
    <row r="957" spans="1:7" x14ac:dyDescent="0.25">
      <c r="A957" t="str">
        <f>_xlfn.XLOOKUP('Raw Data'!A957,$M$2:$M$11,$N$2:$N$11,,1)</f>
        <v>18 - 23</v>
      </c>
      <c r="B957" t="str">
        <f>_xlfn.XLOOKUP('Raw Data'!B957,$Q$2:$Q$9,$R$2:$R$9,,1)</f>
        <v>0 - 5</v>
      </c>
      <c r="C957">
        <v>0</v>
      </c>
      <c r="D957" t="str">
        <f>_xlfn.XLOOKUP('Raw Data'!D957,$V$2:$V$5,$W$2:$W$5,,1)</f>
        <v>15 - 19</v>
      </c>
      <c r="E957">
        <v>2009</v>
      </c>
      <c r="F957" t="str">
        <f>_xlfn.XLOOKUP('Raw Data'!F957,$Q$2:$Q$9,$R$2:$R$9,,1)</f>
        <v>15 - 20</v>
      </c>
      <c r="G957">
        <v>496.4</v>
      </c>
    </row>
    <row r="958" spans="1:7" x14ac:dyDescent="0.25">
      <c r="A958" t="str">
        <f>_xlfn.XLOOKUP('Raw Data'!A958,$M$2:$M$11,$N$2:$N$11,,1)</f>
        <v>53 - 58</v>
      </c>
      <c r="B958" t="str">
        <f>_xlfn.XLOOKUP('Raw Data'!B958,$Q$2:$Q$9,$R$2:$R$9,,1)</f>
        <v>35 - 40</v>
      </c>
      <c r="C958">
        <v>5</v>
      </c>
      <c r="D958" t="str">
        <f>_xlfn.XLOOKUP('Raw Data'!D958,$V$2:$V$5,$W$2:$W$5,,1)</f>
        <v>15 - 19</v>
      </c>
      <c r="E958">
        <v>2013</v>
      </c>
      <c r="F958" t="str">
        <f>_xlfn.XLOOKUP('Raw Data'!F958,$Q$2:$Q$9,$R$2:$R$9,,1)</f>
        <v>10 - 15</v>
      </c>
      <c r="G958">
        <v>487.95</v>
      </c>
    </row>
    <row r="959" spans="1:7" x14ac:dyDescent="0.25">
      <c r="A959" t="str">
        <f>_xlfn.XLOOKUP('Raw Data'!A959,$M$2:$M$11,$N$2:$N$11,,1)</f>
        <v>48 - 53</v>
      </c>
      <c r="B959" t="str">
        <f>_xlfn.XLOOKUP('Raw Data'!B959,$Q$2:$Q$9,$R$2:$R$9,,1)</f>
        <v>15 - 20</v>
      </c>
      <c r="C959">
        <v>1</v>
      </c>
      <c r="D959" t="str">
        <f>_xlfn.XLOOKUP('Raw Data'!D959,$V$2:$V$5,$W$2:$W$5,,1)</f>
        <v>19 - 23</v>
      </c>
      <c r="E959">
        <v>1999</v>
      </c>
      <c r="F959" t="str">
        <f>_xlfn.XLOOKUP('Raw Data'!F959,$Q$2:$Q$9,$R$2:$R$9,,1)</f>
        <v>25 - 30</v>
      </c>
      <c r="G959">
        <v>489.4</v>
      </c>
    </row>
    <row r="960" spans="1:7" x14ac:dyDescent="0.25">
      <c r="A960" t="str">
        <f>_xlfn.XLOOKUP('Raw Data'!A960,$M$2:$M$11,$N$2:$N$11,,1)</f>
        <v>38 - 43</v>
      </c>
      <c r="B960" t="str">
        <f>_xlfn.XLOOKUP('Raw Data'!B960,$Q$2:$Q$9,$R$2:$R$9,,1)</f>
        <v>20 - 25</v>
      </c>
      <c r="C960">
        <v>1</v>
      </c>
      <c r="D960" t="str">
        <f>_xlfn.XLOOKUP('Raw Data'!D960,$V$2:$V$5,$W$2:$W$5,,1)</f>
        <v>23 - 27</v>
      </c>
      <c r="E960">
        <v>2021</v>
      </c>
      <c r="F960" t="str">
        <f>_xlfn.XLOOKUP('Raw Data'!F960,$Q$2:$Q$9,$R$2:$R$9,,1)</f>
        <v>0 - 5</v>
      </c>
      <c r="G960">
        <v>489.05</v>
      </c>
    </row>
    <row r="961" spans="1:7" x14ac:dyDescent="0.25">
      <c r="A961" t="str">
        <f>_xlfn.XLOOKUP('Raw Data'!A961,$M$2:$M$11,$N$2:$N$11,,1)</f>
        <v>33 - 38</v>
      </c>
      <c r="B961" t="str">
        <f>_xlfn.XLOOKUP('Raw Data'!B961,$Q$2:$Q$9,$R$2:$R$9,,1)</f>
        <v>10 - 15</v>
      </c>
      <c r="C961">
        <v>3</v>
      </c>
      <c r="D961" t="str">
        <f>_xlfn.XLOOKUP('Raw Data'!D961,$V$2:$V$5,$W$2:$W$5,,1)</f>
        <v>15 - 19</v>
      </c>
      <c r="E961">
        <v>2004</v>
      </c>
      <c r="F961" t="str">
        <f>_xlfn.XLOOKUP('Raw Data'!F961,$Q$2:$Q$9,$R$2:$R$9,,1)</f>
        <v>20 - 25</v>
      </c>
      <c r="G961">
        <v>495.35</v>
      </c>
    </row>
    <row r="962" spans="1:7" x14ac:dyDescent="0.25">
      <c r="A962" t="str">
        <f>_xlfn.XLOOKUP('Raw Data'!A962,$M$2:$M$11,$N$2:$N$11,,1)</f>
        <v>18 - 23</v>
      </c>
      <c r="B962" t="str">
        <f>_xlfn.XLOOKUP('Raw Data'!B962,$Q$2:$Q$9,$R$2:$R$9,,1)</f>
        <v>0 - 5</v>
      </c>
      <c r="C962">
        <v>3</v>
      </c>
      <c r="D962" t="str">
        <f>_xlfn.XLOOKUP('Raw Data'!D962,$V$2:$V$5,$W$2:$W$5,,1)</f>
        <v>11 - 15</v>
      </c>
      <c r="E962">
        <v>2009</v>
      </c>
      <c r="F962" t="str">
        <f>_xlfn.XLOOKUP('Raw Data'!F962,$Q$2:$Q$9,$R$2:$R$9,,1)</f>
        <v>15 - 20</v>
      </c>
      <c r="G962">
        <v>500.75</v>
      </c>
    </row>
    <row r="963" spans="1:7" x14ac:dyDescent="0.25">
      <c r="A963" t="str">
        <f>_xlfn.XLOOKUP('Raw Data'!A963,$M$2:$M$11,$N$2:$N$11,,1)</f>
        <v>18 - 23</v>
      </c>
      <c r="B963" t="str">
        <f>_xlfn.XLOOKUP('Raw Data'!B963,$Q$2:$Q$9,$R$2:$R$9,,1)</f>
        <v>0 - 5</v>
      </c>
      <c r="C963">
        <v>5</v>
      </c>
      <c r="D963" t="str">
        <f>_xlfn.XLOOKUP('Raw Data'!D963,$V$2:$V$5,$W$2:$W$5,,1)</f>
        <v>11 - 15</v>
      </c>
      <c r="E963">
        <v>1992</v>
      </c>
      <c r="F963" t="str">
        <f>_xlfn.XLOOKUP('Raw Data'!F963,$Q$2:$Q$9,$R$2:$R$9,,1)</f>
        <v>30 - 35</v>
      </c>
      <c r="G963">
        <v>505.45</v>
      </c>
    </row>
    <row r="964" spans="1:7" x14ac:dyDescent="0.25">
      <c r="A964" t="str">
        <f>_xlfn.XLOOKUP('Raw Data'!A964,$M$2:$M$11,$N$2:$N$11,,1)</f>
        <v>63 - 68</v>
      </c>
      <c r="B964" t="str">
        <f>_xlfn.XLOOKUP('Raw Data'!B964,$Q$2:$Q$9,$R$2:$R$9,,1)</f>
        <v>0 - 5</v>
      </c>
      <c r="C964">
        <v>3</v>
      </c>
      <c r="D964" t="str">
        <f>_xlfn.XLOOKUP('Raw Data'!D964,$V$2:$V$5,$W$2:$W$5,,1)</f>
        <v>19 - 23</v>
      </c>
      <c r="E964">
        <v>1997</v>
      </c>
      <c r="F964" t="str">
        <f>_xlfn.XLOOKUP('Raw Data'!F964,$Q$2:$Q$9,$R$2:$R$9,,1)</f>
        <v>25 - 30</v>
      </c>
      <c r="G964">
        <v>495.35</v>
      </c>
    </row>
    <row r="965" spans="1:7" x14ac:dyDescent="0.25">
      <c r="A965" t="str">
        <f>_xlfn.XLOOKUP('Raw Data'!A965,$M$2:$M$11,$N$2:$N$11,,1)</f>
        <v>18 - 23</v>
      </c>
      <c r="B965" t="str">
        <f>_xlfn.XLOOKUP('Raw Data'!B965,$Q$2:$Q$9,$R$2:$R$9,,1)</f>
        <v>0 - 5</v>
      </c>
      <c r="C965">
        <v>1</v>
      </c>
      <c r="D965" t="str">
        <f>_xlfn.XLOOKUP('Raw Data'!D965,$V$2:$V$5,$W$2:$W$5,,1)</f>
        <v>19 - 23</v>
      </c>
      <c r="E965">
        <v>2012</v>
      </c>
      <c r="F965" t="str">
        <f>_xlfn.XLOOKUP('Raw Data'!F965,$Q$2:$Q$9,$R$2:$R$9,,1)</f>
        <v>10 - 15</v>
      </c>
      <c r="G965">
        <v>498.85</v>
      </c>
    </row>
    <row r="966" spans="1:7" x14ac:dyDescent="0.25">
      <c r="A966" t="str">
        <f>_xlfn.XLOOKUP('Raw Data'!A966,$M$2:$M$11,$N$2:$N$11,,1)</f>
        <v>43 - 48</v>
      </c>
      <c r="B966" t="str">
        <f>_xlfn.XLOOKUP('Raw Data'!B966,$Q$2:$Q$9,$R$2:$R$9,,1)</f>
        <v>25 - 30</v>
      </c>
      <c r="C966">
        <v>2</v>
      </c>
      <c r="D966" t="str">
        <f>_xlfn.XLOOKUP('Raw Data'!D966,$V$2:$V$5,$W$2:$W$5,,1)</f>
        <v>11 - 15</v>
      </c>
      <c r="E966">
        <v>2000</v>
      </c>
      <c r="F966" t="str">
        <f>_xlfn.XLOOKUP('Raw Data'!F966,$Q$2:$Q$9,$R$2:$R$9,,1)</f>
        <v>20 - 25</v>
      </c>
      <c r="G966">
        <v>488.45</v>
      </c>
    </row>
    <row r="967" spans="1:7" x14ac:dyDescent="0.25">
      <c r="A967" t="str">
        <f>_xlfn.XLOOKUP('Raw Data'!A967,$M$2:$M$11,$N$2:$N$11,,1)</f>
        <v>23 - 28</v>
      </c>
      <c r="B967" t="str">
        <f>_xlfn.XLOOKUP('Raw Data'!B967,$Q$2:$Q$9,$R$2:$R$9,,1)</f>
        <v>5 - 10</v>
      </c>
      <c r="C967">
        <v>4</v>
      </c>
      <c r="D967" t="str">
        <f>_xlfn.XLOOKUP('Raw Data'!D967,$V$2:$V$5,$W$2:$W$5,,1)</f>
        <v>11 - 15</v>
      </c>
      <c r="E967">
        <v>1997</v>
      </c>
      <c r="F967" t="str">
        <f>_xlfn.XLOOKUP('Raw Data'!F967,$Q$2:$Q$9,$R$2:$R$9,,1)</f>
        <v>25 - 30</v>
      </c>
      <c r="G967">
        <v>500.75</v>
      </c>
    </row>
    <row r="968" spans="1:7" x14ac:dyDescent="0.25">
      <c r="A968" t="str">
        <f>_xlfn.XLOOKUP('Raw Data'!A968,$M$2:$M$11,$N$2:$N$11,,1)</f>
        <v>43 - 48</v>
      </c>
      <c r="B968" t="str">
        <f>_xlfn.XLOOKUP('Raw Data'!B968,$Q$2:$Q$9,$R$2:$R$9,,1)</f>
        <v>25 - 30</v>
      </c>
      <c r="C968">
        <v>2</v>
      </c>
      <c r="D968" t="str">
        <f>_xlfn.XLOOKUP('Raw Data'!D968,$V$2:$V$5,$W$2:$W$5,,1)</f>
        <v>15 - 19</v>
      </c>
      <c r="E968">
        <v>2018</v>
      </c>
      <c r="F968" t="str">
        <f>_xlfn.XLOOKUP('Raw Data'!F968,$Q$2:$Q$9,$R$2:$R$9,,1)</f>
        <v>5 - 10</v>
      </c>
      <c r="G968">
        <v>486.5</v>
      </c>
    </row>
    <row r="969" spans="1:7" x14ac:dyDescent="0.25">
      <c r="A969" t="str">
        <f>_xlfn.XLOOKUP('Raw Data'!A969,$M$2:$M$11,$N$2:$N$11,,1)</f>
        <v>43 - 48</v>
      </c>
      <c r="B969" t="str">
        <f>_xlfn.XLOOKUP('Raw Data'!B969,$Q$2:$Q$9,$R$2:$R$9,,1)</f>
        <v>0 - 5</v>
      </c>
      <c r="C969">
        <v>2</v>
      </c>
      <c r="D969" t="str">
        <f>_xlfn.XLOOKUP('Raw Data'!D969,$V$2:$V$5,$W$2:$W$5,,1)</f>
        <v>19 - 23</v>
      </c>
      <c r="E969">
        <v>2019</v>
      </c>
      <c r="F969" t="str">
        <f>_xlfn.XLOOKUP('Raw Data'!F969,$Q$2:$Q$9,$R$2:$R$9,,1)</f>
        <v>5 - 10</v>
      </c>
      <c r="G969">
        <v>493.9</v>
      </c>
    </row>
    <row r="970" spans="1:7" x14ac:dyDescent="0.25">
      <c r="A970" t="str">
        <f>_xlfn.XLOOKUP('Raw Data'!A970,$M$2:$M$11,$N$2:$N$11,,1)</f>
        <v>38 - 43</v>
      </c>
      <c r="B970" t="str">
        <f>_xlfn.XLOOKUP('Raw Data'!B970,$Q$2:$Q$9,$R$2:$R$9,,1)</f>
        <v>20 - 25</v>
      </c>
      <c r="C970">
        <v>1</v>
      </c>
      <c r="D970" t="str">
        <f>_xlfn.XLOOKUP('Raw Data'!D970,$V$2:$V$5,$W$2:$W$5,,1)</f>
        <v>19 - 23</v>
      </c>
      <c r="E970">
        <v>1999</v>
      </c>
      <c r="F970" t="str">
        <f>_xlfn.XLOOKUP('Raw Data'!F970,$Q$2:$Q$9,$R$2:$R$9,,1)</f>
        <v>25 - 30</v>
      </c>
      <c r="G970">
        <v>490.65</v>
      </c>
    </row>
    <row r="971" spans="1:7" x14ac:dyDescent="0.25">
      <c r="A971" t="str">
        <f>_xlfn.XLOOKUP('Raw Data'!A971,$M$2:$M$11,$N$2:$N$11,,1)</f>
        <v>23 - 28</v>
      </c>
      <c r="B971" t="str">
        <f>_xlfn.XLOOKUP('Raw Data'!B971,$Q$2:$Q$9,$R$2:$R$9,,1)</f>
        <v>5 - 10</v>
      </c>
      <c r="C971">
        <v>2</v>
      </c>
      <c r="D971" t="str">
        <f>_xlfn.XLOOKUP('Raw Data'!D971,$V$2:$V$5,$W$2:$W$5,,1)</f>
        <v>11 - 15</v>
      </c>
      <c r="E971">
        <v>2017</v>
      </c>
      <c r="F971" t="str">
        <f>_xlfn.XLOOKUP('Raw Data'!F971,$Q$2:$Q$9,$R$2:$R$9,,1)</f>
        <v>5 - 10</v>
      </c>
      <c r="G971">
        <v>496.75</v>
      </c>
    </row>
    <row r="972" spans="1:7" x14ac:dyDescent="0.25">
      <c r="A972" t="str">
        <f>_xlfn.XLOOKUP('Raw Data'!A972,$M$2:$M$11,$N$2:$N$11,,1)</f>
        <v>18 - 23</v>
      </c>
      <c r="B972" t="str">
        <f>_xlfn.XLOOKUP('Raw Data'!B972,$Q$2:$Q$9,$R$2:$R$9,,1)</f>
        <v>0 - 5</v>
      </c>
      <c r="C972">
        <v>5</v>
      </c>
      <c r="D972" t="str">
        <f>_xlfn.XLOOKUP('Raw Data'!D972,$V$2:$V$5,$W$2:$W$5,,1)</f>
        <v>11 - 15</v>
      </c>
      <c r="E972">
        <v>2025</v>
      </c>
      <c r="F972" t="str">
        <f>_xlfn.XLOOKUP('Raw Data'!F972,$Q$2:$Q$9,$R$2:$R$9,,1)</f>
        <v>0 - 5</v>
      </c>
      <c r="G972">
        <v>504.2</v>
      </c>
    </row>
    <row r="973" spans="1:7" x14ac:dyDescent="0.25">
      <c r="A973" t="str">
        <f>_xlfn.XLOOKUP('Raw Data'!A973,$M$2:$M$11,$N$2:$N$11,,1)</f>
        <v>43 - 48</v>
      </c>
      <c r="B973" t="str">
        <f>_xlfn.XLOOKUP('Raw Data'!B973,$Q$2:$Q$9,$R$2:$R$9,,1)</f>
        <v>20 - 25</v>
      </c>
      <c r="C973">
        <v>0</v>
      </c>
      <c r="D973" t="str">
        <f>_xlfn.XLOOKUP('Raw Data'!D973,$V$2:$V$5,$W$2:$W$5,,1)</f>
        <v>23 - 27</v>
      </c>
      <c r="E973">
        <v>2002</v>
      </c>
      <c r="F973" t="str">
        <f>_xlfn.XLOOKUP('Raw Data'!F973,$Q$2:$Q$9,$R$2:$R$9,,1)</f>
        <v>20 - 25</v>
      </c>
      <c r="G973">
        <v>486.45</v>
      </c>
    </row>
    <row r="974" spans="1:7" x14ac:dyDescent="0.25">
      <c r="A974" t="str">
        <f>_xlfn.XLOOKUP('Raw Data'!A974,$M$2:$M$11,$N$2:$N$11,,1)</f>
        <v>53 - 58</v>
      </c>
      <c r="B974" t="str">
        <f>_xlfn.XLOOKUP('Raw Data'!B974,$Q$2:$Q$9,$R$2:$R$9,,1)</f>
        <v>5 - 10</v>
      </c>
      <c r="C974">
        <v>3</v>
      </c>
      <c r="D974" t="str">
        <f>_xlfn.XLOOKUP('Raw Data'!D974,$V$2:$V$5,$W$2:$W$5,,1)</f>
        <v>15 - 19</v>
      </c>
      <c r="E974">
        <v>2021</v>
      </c>
      <c r="F974" t="str">
        <f>_xlfn.XLOOKUP('Raw Data'!F974,$Q$2:$Q$9,$R$2:$R$9,,1)</f>
        <v>0 - 5</v>
      </c>
      <c r="G974">
        <v>491.75</v>
      </c>
    </row>
    <row r="975" spans="1:7" x14ac:dyDescent="0.25">
      <c r="A975" t="str">
        <f>_xlfn.XLOOKUP('Raw Data'!A975,$M$2:$M$11,$N$2:$N$11,,1)</f>
        <v>53 - 58</v>
      </c>
      <c r="B975" t="str">
        <f>_xlfn.XLOOKUP('Raw Data'!B975,$Q$2:$Q$9,$R$2:$R$9,,1)</f>
        <v>25 - 30</v>
      </c>
      <c r="C975">
        <v>0</v>
      </c>
      <c r="D975" t="str">
        <f>_xlfn.XLOOKUP('Raw Data'!D975,$V$2:$V$5,$W$2:$W$5,,1)</f>
        <v>23 - 27</v>
      </c>
      <c r="E975">
        <v>2025</v>
      </c>
      <c r="F975" t="str">
        <f>_xlfn.XLOOKUP('Raw Data'!F975,$Q$2:$Q$9,$R$2:$R$9,,1)</f>
        <v>0 - 5</v>
      </c>
      <c r="G975">
        <v>481.7</v>
      </c>
    </row>
    <row r="976" spans="1:7" x14ac:dyDescent="0.25">
      <c r="A976" t="str">
        <f>_xlfn.XLOOKUP('Raw Data'!A976,$M$2:$M$11,$N$2:$N$11,,1)</f>
        <v>48 - 53</v>
      </c>
      <c r="B976" t="str">
        <f>_xlfn.XLOOKUP('Raw Data'!B976,$Q$2:$Q$9,$R$2:$R$9,,1)</f>
        <v>15 - 20</v>
      </c>
      <c r="C976">
        <v>4</v>
      </c>
      <c r="D976" t="str">
        <f>_xlfn.XLOOKUP('Raw Data'!D976,$V$2:$V$5,$W$2:$W$5,,1)</f>
        <v>15 - 19</v>
      </c>
      <c r="E976">
        <v>2015</v>
      </c>
      <c r="F976" t="str">
        <f>_xlfn.XLOOKUP('Raw Data'!F976,$Q$2:$Q$9,$R$2:$R$9,,1)</f>
        <v>5 - 10</v>
      </c>
      <c r="G976">
        <v>492.25</v>
      </c>
    </row>
    <row r="977" spans="1:7" x14ac:dyDescent="0.25">
      <c r="A977" t="str">
        <f>_xlfn.XLOOKUP('Raw Data'!A977,$M$2:$M$11,$N$2:$N$11,,1)</f>
        <v>38 - 43</v>
      </c>
      <c r="B977" t="str">
        <f>_xlfn.XLOOKUP('Raw Data'!B977,$Q$2:$Q$9,$R$2:$R$9,,1)</f>
        <v>15 - 20</v>
      </c>
      <c r="C977">
        <v>3</v>
      </c>
      <c r="D977" t="str">
        <f>_xlfn.XLOOKUP('Raw Data'!D977,$V$2:$V$5,$W$2:$W$5,,1)</f>
        <v>11 - 15</v>
      </c>
      <c r="E977">
        <v>2011</v>
      </c>
      <c r="F977" t="str">
        <f>_xlfn.XLOOKUP('Raw Data'!F977,$Q$2:$Q$9,$R$2:$R$9,,1)</f>
        <v>10 - 15</v>
      </c>
      <c r="G977">
        <v>493.65</v>
      </c>
    </row>
    <row r="978" spans="1:7" x14ac:dyDescent="0.25">
      <c r="A978" t="str">
        <f>_xlfn.XLOOKUP('Raw Data'!A978,$M$2:$M$11,$N$2:$N$11,,1)</f>
        <v>43 - 48</v>
      </c>
      <c r="B978" t="str">
        <f>_xlfn.XLOOKUP('Raw Data'!B978,$Q$2:$Q$9,$R$2:$R$9,,1)</f>
        <v>20 - 25</v>
      </c>
      <c r="C978">
        <v>2</v>
      </c>
      <c r="D978" t="str">
        <f>_xlfn.XLOOKUP('Raw Data'!D978,$V$2:$V$5,$W$2:$W$5,,1)</f>
        <v>11 - 15</v>
      </c>
      <c r="E978">
        <v>1993</v>
      </c>
      <c r="F978" t="str">
        <f>_xlfn.XLOOKUP('Raw Data'!F978,$Q$2:$Q$9,$R$2:$R$9,,1)</f>
        <v>30 - 35</v>
      </c>
      <c r="G978">
        <v>489.8</v>
      </c>
    </row>
    <row r="979" spans="1:7" x14ac:dyDescent="0.25">
      <c r="A979" t="str">
        <f>_xlfn.XLOOKUP('Raw Data'!A979,$M$2:$M$11,$N$2:$N$11,,1)</f>
        <v>18 - 23</v>
      </c>
      <c r="B979" t="str">
        <f>_xlfn.XLOOKUP('Raw Data'!B979,$Q$2:$Q$9,$R$2:$R$9,,1)</f>
        <v>0 - 5</v>
      </c>
      <c r="C979">
        <v>4</v>
      </c>
      <c r="D979" t="str">
        <f>_xlfn.XLOOKUP('Raw Data'!D979,$V$2:$V$5,$W$2:$W$5,,1)</f>
        <v>11 - 15</v>
      </c>
      <c r="E979">
        <v>2020</v>
      </c>
      <c r="F979" t="str">
        <f>_xlfn.XLOOKUP('Raw Data'!F979,$Q$2:$Q$9,$R$2:$R$9,,1)</f>
        <v>0 - 5</v>
      </c>
      <c r="G979">
        <v>501.05</v>
      </c>
    </row>
    <row r="980" spans="1:7" x14ac:dyDescent="0.25">
      <c r="A980" t="str">
        <f>_xlfn.XLOOKUP('Raw Data'!A980,$M$2:$M$11,$N$2:$N$11,,1)</f>
        <v>18 - 23</v>
      </c>
      <c r="B980" t="str">
        <f>_xlfn.XLOOKUP('Raw Data'!B980,$Q$2:$Q$9,$R$2:$R$9,,1)</f>
        <v>0 - 5</v>
      </c>
      <c r="C980">
        <v>3</v>
      </c>
      <c r="D980" t="str">
        <f>_xlfn.XLOOKUP('Raw Data'!D980,$V$2:$V$5,$W$2:$W$5,,1)</f>
        <v>11 - 15</v>
      </c>
      <c r="E980">
        <v>2007</v>
      </c>
      <c r="F980" t="str">
        <f>_xlfn.XLOOKUP('Raw Data'!F980,$Q$2:$Q$9,$R$2:$R$9,,1)</f>
        <v>15 - 20</v>
      </c>
      <c r="G980">
        <v>502.85</v>
      </c>
    </row>
    <row r="981" spans="1:7" x14ac:dyDescent="0.25">
      <c r="A981" t="str">
        <f>_xlfn.XLOOKUP('Raw Data'!A981,$M$2:$M$11,$N$2:$N$11,,1)</f>
        <v>33 - 38</v>
      </c>
      <c r="B981" t="str">
        <f>_xlfn.XLOOKUP('Raw Data'!B981,$Q$2:$Q$9,$R$2:$R$9,,1)</f>
        <v>10 - 15</v>
      </c>
      <c r="C981">
        <v>5</v>
      </c>
      <c r="D981" t="str">
        <f>_xlfn.XLOOKUP('Raw Data'!D981,$V$2:$V$5,$W$2:$W$5,,1)</f>
        <v>19 - 23</v>
      </c>
      <c r="E981">
        <v>2013</v>
      </c>
      <c r="F981" t="str">
        <f>_xlfn.XLOOKUP('Raw Data'!F981,$Q$2:$Q$9,$R$2:$R$9,,1)</f>
        <v>10 - 15</v>
      </c>
      <c r="G981">
        <v>499.1</v>
      </c>
    </row>
    <row r="982" spans="1:7" x14ac:dyDescent="0.25">
      <c r="A982" t="str">
        <f>_xlfn.XLOOKUP('Raw Data'!A982,$M$2:$M$11,$N$2:$N$11,,1)</f>
        <v>43 - 48</v>
      </c>
      <c r="B982" t="str">
        <f>_xlfn.XLOOKUP('Raw Data'!B982,$Q$2:$Q$9,$R$2:$R$9,,1)</f>
        <v>25 - 30</v>
      </c>
      <c r="C982">
        <v>5</v>
      </c>
      <c r="D982" t="str">
        <f>_xlfn.XLOOKUP('Raw Data'!D982,$V$2:$V$5,$W$2:$W$5,,1)</f>
        <v>11 - 15</v>
      </c>
      <c r="E982">
        <v>2012</v>
      </c>
      <c r="F982" t="str">
        <f>_xlfn.XLOOKUP('Raw Data'!F982,$Q$2:$Q$9,$R$2:$R$9,,1)</f>
        <v>10 - 15</v>
      </c>
      <c r="G982">
        <v>492.75</v>
      </c>
    </row>
    <row r="983" spans="1:7" x14ac:dyDescent="0.25">
      <c r="A983" t="str">
        <f>_xlfn.XLOOKUP('Raw Data'!A983,$M$2:$M$11,$N$2:$N$11,,1)</f>
        <v>23 - 28</v>
      </c>
      <c r="B983" t="str">
        <f>_xlfn.XLOOKUP('Raw Data'!B983,$Q$2:$Q$9,$R$2:$R$9,,1)</f>
        <v>5 - 10</v>
      </c>
      <c r="C983">
        <v>5</v>
      </c>
      <c r="D983" t="str">
        <f>_xlfn.XLOOKUP('Raw Data'!D983,$V$2:$V$5,$W$2:$W$5,,1)</f>
        <v>19 - 23</v>
      </c>
      <c r="E983">
        <v>2011</v>
      </c>
      <c r="F983" t="str">
        <f>_xlfn.XLOOKUP('Raw Data'!F983,$Q$2:$Q$9,$R$2:$R$9,,1)</f>
        <v>10 - 15</v>
      </c>
      <c r="G983">
        <v>502.2</v>
      </c>
    </row>
    <row r="984" spans="1:7" x14ac:dyDescent="0.25">
      <c r="A984" t="str">
        <f>_xlfn.XLOOKUP('Raw Data'!A984,$M$2:$M$11,$N$2:$N$11,,1)</f>
        <v>18 - 23</v>
      </c>
      <c r="B984" t="str">
        <f>_xlfn.XLOOKUP('Raw Data'!B984,$Q$2:$Q$9,$R$2:$R$9,,1)</f>
        <v>0 - 5</v>
      </c>
      <c r="C984">
        <v>5</v>
      </c>
      <c r="D984" t="str">
        <f>_xlfn.XLOOKUP('Raw Data'!D984,$V$2:$V$5,$W$2:$W$5,,1)</f>
        <v>11 - 15</v>
      </c>
      <c r="E984">
        <v>1991</v>
      </c>
      <c r="F984" t="str">
        <f>_xlfn.XLOOKUP('Raw Data'!F984,$Q$2:$Q$9,$R$2:$R$9,,1)</f>
        <v>30 - 35</v>
      </c>
      <c r="G984">
        <v>506.35</v>
      </c>
    </row>
    <row r="985" spans="1:7" x14ac:dyDescent="0.25">
      <c r="A985" t="str">
        <f>_xlfn.XLOOKUP('Raw Data'!A985,$M$2:$M$11,$N$2:$N$11,,1)</f>
        <v>28 - 33</v>
      </c>
      <c r="B985" t="str">
        <f>_xlfn.XLOOKUP('Raw Data'!B985,$Q$2:$Q$9,$R$2:$R$9,,1)</f>
        <v>0 - 5</v>
      </c>
      <c r="C985">
        <v>2</v>
      </c>
      <c r="D985" t="str">
        <f>_xlfn.XLOOKUP('Raw Data'!D985,$V$2:$V$5,$W$2:$W$5,,1)</f>
        <v>11 - 15</v>
      </c>
      <c r="E985">
        <v>2020</v>
      </c>
      <c r="F985" t="str">
        <f>_xlfn.XLOOKUP('Raw Data'!F985,$Q$2:$Q$9,$R$2:$R$9,,1)</f>
        <v>0 - 5</v>
      </c>
      <c r="G985">
        <v>496.95</v>
      </c>
    </row>
    <row r="986" spans="1:7" x14ac:dyDescent="0.25">
      <c r="A986" t="str">
        <f>_xlfn.XLOOKUP('Raw Data'!A986,$M$2:$M$11,$N$2:$N$11,,1)</f>
        <v>18 - 23</v>
      </c>
      <c r="B986" t="str">
        <f>_xlfn.XLOOKUP('Raw Data'!B986,$Q$2:$Q$9,$R$2:$R$9,,1)</f>
        <v>0 - 5</v>
      </c>
      <c r="C986">
        <v>0</v>
      </c>
      <c r="D986" t="str">
        <f>_xlfn.XLOOKUP('Raw Data'!D986,$V$2:$V$5,$W$2:$W$5,,1)</f>
        <v>15 - 19</v>
      </c>
      <c r="E986">
        <v>2000</v>
      </c>
      <c r="F986" t="str">
        <f>_xlfn.XLOOKUP('Raw Data'!F986,$Q$2:$Q$9,$R$2:$R$9,,1)</f>
        <v>20 - 25</v>
      </c>
      <c r="G986">
        <v>497.2</v>
      </c>
    </row>
    <row r="987" spans="1:7" x14ac:dyDescent="0.25">
      <c r="A987" t="str">
        <f>_xlfn.XLOOKUP('Raw Data'!A987,$M$2:$M$11,$N$2:$N$11,,1)</f>
        <v>43 - 48</v>
      </c>
      <c r="B987" t="str">
        <f>_xlfn.XLOOKUP('Raw Data'!B987,$Q$2:$Q$9,$R$2:$R$9,,1)</f>
        <v>0 - 5</v>
      </c>
      <c r="C987">
        <v>3</v>
      </c>
      <c r="D987" t="str">
        <f>_xlfn.XLOOKUP('Raw Data'!D987,$V$2:$V$5,$W$2:$W$5,,1)</f>
        <v>15 - 19</v>
      </c>
      <c r="E987">
        <v>2017</v>
      </c>
      <c r="F987" t="str">
        <f>_xlfn.XLOOKUP('Raw Data'!F987,$Q$2:$Q$9,$R$2:$R$9,,1)</f>
        <v>5 - 10</v>
      </c>
      <c r="G987">
        <v>496.75</v>
      </c>
    </row>
    <row r="988" spans="1:7" x14ac:dyDescent="0.25">
      <c r="A988" t="str">
        <f>_xlfn.XLOOKUP('Raw Data'!A988,$M$2:$M$11,$N$2:$N$11,,1)</f>
        <v>53 - 58</v>
      </c>
      <c r="B988" t="str">
        <f>_xlfn.XLOOKUP('Raw Data'!B988,$Q$2:$Q$9,$R$2:$R$9,,1)</f>
        <v>15 - 20</v>
      </c>
      <c r="C988">
        <v>2</v>
      </c>
      <c r="D988" t="str">
        <f>_xlfn.XLOOKUP('Raw Data'!D988,$V$2:$V$5,$W$2:$W$5,,1)</f>
        <v>19 - 23</v>
      </c>
      <c r="E988">
        <v>2021</v>
      </c>
      <c r="F988" t="str">
        <f>_xlfn.XLOOKUP('Raw Data'!F988,$Q$2:$Q$9,$R$2:$R$9,,1)</f>
        <v>0 - 5</v>
      </c>
      <c r="G988">
        <v>488.1</v>
      </c>
    </row>
    <row r="989" spans="1:7" x14ac:dyDescent="0.25">
      <c r="A989" t="str">
        <f>_xlfn.XLOOKUP('Raw Data'!A989,$M$2:$M$11,$N$2:$N$11,,1)</f>
        <v>18 - 23</v>
      </c>
      <c r="B989" t="str">
        <f>_xlfn.XLOOKUP('Raw Data'!B989,$Q$2:$Q$9,$R$2:$R$9,,1)</f>
        <v>0 - 5</v>
      </c>
      <c r="C989">
        <v>5</v>
      </c>
      <c r="D989" t="str">
        <f>_xlfn.XLOOKUP('Raw Data'!D989,$V$2:$V$5,$W$2:$W$5,,1)</f>
        <v>15 - 19</v>
      </c>
      <c r="E989">
        <v>1994</v>
      </c>
      <c r="F989" t="str">
        <f>_xlfn.XLOOKUP('Raw Data'!F989,$Q$2:$Q$9,$R$2:$R$9,,1)</f>
        <v>30 - 35</v>
      </c>
      <c r="G989">
        <v>507.45</v>
      </c>
    </row>
    <row r="990" spans="1:7" x14ac:dyDescent="0.25">
      <c r="A990" t="str">
        <f>_xlfn.XLOOKUP('Raw Data'!A990,$M$2:$M$11,$N$2:$N$11,,1)</f>
        <v>28 - 33</v>
      </c>
      <c r="B990" t="str">
        <f>_xlfn.XLOOKUP('Raw Data'!B990,$Q$2:$Q$9,$R$2:$R$9,,1)</f>
        <v>10 - 15</v>
      </c>
      <c r="C990">
        <v>0</v>
      </c>
      <c r="D990" t="str">
        <f>_xlfn.XLOOKUP('Raw Data'!D990,$V$2:$V$5,$W$2:$W$5,,1)</f>
        <v>11 - 15</v>
      </c>
      <c r="E990">
        <v>1999</v>
      </c>
      <c r="F990" t="str">
        <f>_xlfn.XLOOKUP('Raw Data'!F990,$Q$2:$Q$9,$R$2:$R$9,,1)</f>
        <v>25 - 30</v>
      </c>
      <c r="G990">
        <v>492.65</v>
      </c>
    </row>
    <row r="991" spans="1:7" x14ac:dyDescent="0.25">
      <c r="A991" t="str">
        <f>_xlfn.XLOOKUP('Raw Data'!A991,$M$2:$M$11,$N$2:$N$11,,1)</f>
        <v>23 - 28</v>
      </c>
      <c r="B991" t="str">
        <f>_xlfn.XLOOKUP('Raw Data'!B991,$Q$2:$Q$9,$R$2:$R$9,,1)</f>
        <v>5 - 10</v>
      </c>
      <c r="C991">
        <v>4</v>
      </c>
      <c r="D991" t="str">
        <f>_xlfn.XLOOKUP('Raw Data'!D991,$V$2:$V$5,$W$2:$W$5,,1)</f>
        <v>23 - 27</v>
      </c>
      <c r="E991">
        <v>2013</v>
      </c>
      <c r="F991" t="str">
        <f>_xlfn.XLOOKUP('Raw Data'!F991,$Q$2:$Q$9,$R$2:$R$9,,1)</f>
        <v>10 - 15</v>
      </c>
      <c r="G991">
        <v>499.85</v>
      </c>
    </row>
    <row r="992" spans="1:7" x14ac:dyDescent="0.25">
      <c r="A992" t="str">
        <f>_xlfn.XLOOKUP('Raw Data'!A992,$M$2:$M$11,$N$2:$N$11,,1)</f>
        <v>23 - 28</v>
      </c>
      <c r="B992" t="str">
        <f>_xlfn.XLOOKUP('Raw Data'!B992,$Q$2:$Q$9,$R$2:$R$9,,1)</f>
        <v>0 - 5</v>
      </c>
      <c r="C992">
        <v>4</v>
      </c>
      <c r="D992" t="str">
        <f>_xlfn.XLOOKUP('Raw Data'!D992,$V$2:$V$5,$W$2:$W$5,,1)</f>
        <v>11 - 15</v>
      </c>
      <c r="E992">
        <v>2024</v>
      </c>
      <c r="F992" t="str">
        <f>_xlfn.XLOOKUP('Raw Data'!F992,$Q$2:$Q$9,$R$2:$R$9,,1)</f>
        <v>0 - 5</v>
      </c>
      <c r="G992">
        <v>500.5</v>
      </c>
    </row>
    <row r="993" spans="1:7" x14ac:dyDescent="0.25">
      <c r="A993" t="str">
        <f>_xlfn.XLOOKUP('Raw Data'!A993,$M$2:$M$11,$N$2:$N$11,,1)</f>
        <v>38 - 43</v>
      </c>
      <c r="B993" t="str">
        <f>_xlfn.XLOOKUP('Raw Data'!B993,$Q$2:$Q$9,$R$2:$R$9,,1)</f>
        <v>20 - 25</v>
      </c>
      <c r="C993">
        <v>4</v>
      </c>
      <c r="D993" t="str">
        <f>_xlfn.XLOOKUP('Raw Data'!D993,$V$2:$V$5,$W$2:$W$5,,1)</f>
        <v>23 - 27</v>
      </c>
      <c r="E993">
        <v>2012</v>
      </c>
      <c r="F993" t="str">
        <f>_xlfn.XLOOKUP('Raw Data'!F993,$Q$2:$Q$9,$R$2:$R$9,,1)</f>
        <v>10 - 15</v>
      </c>
      <c r="G993">
        <v>492.4</v>
      </c>
    </row>
    <row r="994" spans="1:7" x14ac:dyDescent="0.25">
      <c r="A994" t="str">
        <f>_xlfn.XLOOKUP('Raw Data'!A994,$M$2:$M$11,$N$2:$N$11,,1)</f>
        <v>58 - 63</v>
      </c>
      <c r="B994" t="str">
        <f>_xlfn.XLOOKUP('Raw Data'!B994,$Q$2:$Q$9,$R$2:$R$9,,1)</f>
        <v>20 - 25</v>
      </c>
      <c r="C994">
        <v>5</v>
      </c>
      <c r="D994" t="str">
        <f>_xlfn.XLOOKUP('Raw Data'!D994,$V$2:$V$5,$W$2:$W$5,,1)</f>
        <v>11 - 15</v>
      </c>
      <c r="E994">
        <v>2006</v>
      </c>
      <c r="F994" t="str">
        <f>_xlfn.XLOOKUP('Raw Data'!F994,$Q$2:$Q$9,$R$2:$R$9,,1)</f>
        <v>15 - 20</v>
      </c>
      <c r="G994">
        <v>490.15</v>
      </c>
    </row>
    <row r="995" spans="1:7" x14ac:dyDescent="0.25">
      <c r="A995" t="str">
        <f>_xlfn.XLOOKUP('Raw Data'!A995,$M$2:$M$11,$N$2:$N$11,,1)</f>
        <v>58 - 63</v>
      </c>
      <c r="B995" t="str">
        <f>_xlfn.XLOOKUP('Raw Data'!B995,$Q$2:$Q$9,$R$2:$R$9,,1)</f>
        <v>25 - 30</v>
      </c>
      <c r="C995">
        <v>4</v>
      </c>
      <c r="D995" t="str">
        <f>_xlfn.XLOOKUP('Raw Data'!D995,$V$2:$V$5,$W$2:$W$5,,1)</f>
        <v>19 - 23</v>
      </c>
      <c r="E995">
        <v>1990</v>
      </c>
      <c r="F995" t="str">
        <f>_xlfn.XLOOKUP('Raw Data'!F995,$Q$2:$Q$9,$R$2:$R$9,,1)</f>
        <v>30 - 35</v>
      </c>
      <c r="G995">
        <v>490.3</v>
      </c>
    </row>
    <row r="996" spans="1:7" x14ac:dyDescent="0.25">
      <c r="A996" t="str">
        <f>_xlfn.XLOOKUP('Raw Data'!A996,$M$2:$M$11,$N$2:$N$11,,1)</f>
        <v>18 - 23</v>
      </c>
      <c r="B996" t="str">
        <f>_xlfn.XLOOKUP('Raw Data'!B996,$Q$2:$Q$9,$R$2:$R$9,,1)</f>
        <v>0 - 5</v>
      </c>
      <c r="C996">
        <v>1</v>
      </c>
      <c r="D996" t="str">
        <f>_xlfn.XLOOKUP('Raw Data'!D996,$V$2:$V$5,$W$2:$W$5,,1)</f>
        <v>15 - 19</v>
      </c>
      <c r="E996">
        <v>2020</v>
      </c>
      <c r="F996" t="str">
        <f>_xlfn.XLOOKUP('Raw Data'!F996,$Q$2:$Q$9,$R$2:$R$9,,1)</f>
        <v>0 - 5</v>
      </c>
      <c r="G996">
        <v>498.25</v>
      </c>
    </row>
    <row r="997" spans="1:7" x14ac:dyDescent="0.25">
      <c r="A997" t="str">
        <f>_xlfn.XLOOKUP('Raw Data'!A997,$M$2:$M$11,$N$2:$N$11,,1)</f>
        <v>18 - 23</v>
      </c>
      <c r="B997" t="str">
        <f>_xlfn.XLOOKUP('Raw Data'!B997,$Q$2:$Q$9,$R$2:$R$9,,1)</f>
        <v>0 - 5</v>
      </c>
      <c r="C997">
        <v>3</v>
      </c>
      <c r="D997" t="str">
        <f>_xlfn.XLOOKUP('Raw Data'!D997,$V$2:$V$5,$W$2:$W$5,,1)</f>
        <v>19 - 23</v>
      </c>
      <c r="E997">
        <v>2020</v>
      </c>
      <c r="F997" t="str">
        <f>_xlfn.XLOOKUP('Raw Data'!F997,$Q$2:$Q$9,$R$2:$R$9,,1)</f>
        <v>0 - 5</v>
      </c>
      <c r="G997">
        <v>500</v>
      </c>
    </row>
    <row r="998" spans="1:7" x14ac:dyDescent="0.25">
      <c r="A998" t="str">
        <f>_xlfn.XLOOKUP('Raw Data'!A998,$M$2:$M$11,$N$2:$N$11,,1)</f>
        <v>38 - 43</v>
      </c>
      <c r="B998" t="str">
        <f>_xlfn.XLOOKUP('Raw Data'!B998,$Q$2:$Q$9,$R$2:$R$9,,1)</f>
        <v>5 - 10</v>
      </c>
      <c r="C998">
        <v>3</v>
      </c>
      <c r="D998" t="str">
        <f>_xlfn.XLOOKUP('Raw Data'!D998,$V$2:$V$5,$W$2:$W$5,,1)</f>
        <v>15 - 19</v>
      </c>
      <c r="E998">
        <v>2023</v>
      </c>
      <c r="F998" t="str">
        <f>_xlfn.XLOOKUP('Raw Data'!F998,$Q$2:$Q$9,$R$2:$R$9,,1)</f>
        <v>0 - 5</v>
      </c>
      <c r="G998">
        <v>494.55</v>
      </c>
    </row>
    <row r="999" spans="1:7" x14ac:dyDescent="0.25">
      <c r="A999" t="str">
        <f>_xlfn.XLOOKUP('Raw Data'!A999,$M$2:$M$11,$N$2:$N$11,,1)</f>
        <v>18 - 23</v>
      </c>
      <c r="B999" t="str">
        <f>_xlfn.XLOOKUP('Raw Data'!B999,$Q$2:$Q$9,$R$2:$R$9,,1)</f>
        <v>0 - 5</v>
      </c>
      <c r="C999">
        <v>5</v>
      </c>
      <c r="D999" t="str">
        <f>_xlfn.XLOOKUP('Raw Data'!D999,$V$2:$V$5,$W$2:$W$5,,1)</f>
        <v>15 - 19</v>
      </c>
      <c r="E999">
        <v>1998</v>
      </c>
      <c r="F999" t="str">
        <f>_xlfn.XLOOKUP('Raw Data'!F999,$Q$2:$Q$9,$R$2:$R$9,,1)</f>
        <v>25 - 30</v>
      </c>
      <c r="G999">
        <v>506.05</v>
      </c>
    </row>
    <row r="1000" spans="1:7" x14ac:dyDescent="0.25">
      <c r="A1000" t="str">
        <f>_xlfn.XLOOKUP('Raw Data'!A1000,$M$2:$M$11,$N$2:$N$11,,1)</f>
        <v>33 - 38</v>
      </c>
      <c r="B1000" t="str">
        <f>_xlfn.XLOOKUP('Raw Data'!B1000,$Q$2:$Q$9,$R$2:$R$9,,1)</f>
        <v>15 - 20</v>
      </c>
      <c r="C1000">
        <v>1</v>
      </c>
      <c r="D1000" t="str">
        <f>_xlfn.XLOOKUP('Raw Data'!D1000,$V$2:$V$5,$W$2:$W$5,,1)</f>
        <v>19 - 23</v>
      </c>
      <c r="E1000">
        <v>2011</v>
      </c>
      <c r="F1000" t="str">
        <f>_xlfn.XLOOKUP('Raw Data'!F1000,$Q$2:$Q$9,$R$2:$R$9,,1)</f>
        <v>10 - 15</v>
      </c>
      <c r="G1000">
        <v>491.45</v>
      </c>
    </row>
    <row r="1001" spans="1:7" x14ac:dyDescent="0.25">
      <c r="A1001" t="str">
        <f>_xlfn.XLOOKUP('Raw Data'!A1001,$M$2:$M$11,$N$2:$N$11,,1)</f>
        <v>33 - 38</v>
      </c>
      <c r="B1001" t="str">
        <f>_xlfn.XLOOKUP('Raw Data'!B1001,$Q$2:$Q$9,$R$2:$R$9,,1)</f>
        <v>15 - 20</v>
      </c>
      <c r="C1001">
        <v>2</v>
      </c>
      <c r="D1001" t="str">
        <f>_xlfn.XLOOKUP('Raw Data'!D1001,$V$2:$V$5,$W$2:$W$5,,1)</f>
        <v>11 - 15</v>
      </c>
      <c r="E1001">
        <v>2002</v>
      </c>
      <c r="F1001" t="str">
        <f>_xlfn.XLOOKUP('Raw Data'!F1001,$Q$2:$Q$9,$R$2:$R$9,,1)</f>
        <v>20 - 25</v>
      </c>
      <c r="G1001">
        <v>492.8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F174E-F006-4922-AA33-3C10AA648E95}">
  <dimension ref="A1:G1001"/>
  <sheetViews>
    <sheetView workbookViewId="0">
      <pane ySplit="1" topLeftCell="A2" activePane="bottomLeft" state="frozen"/>
      <selection pane="bottomLeft" activeCell="H1" sqref="H1"/>
    </sheetView>
  </sheetViews>
  <sheetFormatPr defaultRowHeight="15" x14ac:dyDescent="0.25"/>
  <cols>
    <col min="1" max="1" width="9.7109375" bestFit="1" customWidth="1"/>
    <col min="2" max="2" width="16.140625" bestFit="1" customWidth="1"/>
    <col min="3" max="3" width="17.85546875" bestFit="1" customWidth="1"/>
    <col min="4" max="4" width="24.85546875" bestFit="1" customWidth="1"/>
    <col min="5" max="5" width="22" bestFit="1" customWidth="1"/>
    <col min="6" max="6" width="7.5703125" bestFit="1" customWidth="1"/>
    <col min="7" max="7" width="21.5703125" bestFit="1" customWidth="1"/>
  </cols>
  <sheetData>
    <row r="1" spans="1:7" ht="30" customHeight="1" x14ac:dyDescent="0.25">
      <c r="A1" t="s">
        <v>0</v>
      </c>
      <c r="B1" t="s">
        <v>1</v>
      </c>
      <c r="C1" t="s">
        <v>2</v>
      </c>
      <c r="D1" t="s">
        <v>3</v>
      </c>
      <c r="E1" t="s">
        <v>4</v>
      </c>
      <c r="F1" t="s">
        <v>5</v>
      </c>
      <c r="G1" t="s">
        <v>6</v>
      </c>
    </row>
    <row r="2" spans="1:7" x14ac:dyDescent="0.25">
      <c r="A2">
        <v>56</v>
      </c>
      <c r="B2">
        <v>32</v>
      </c>
      <c r="C2">
        <v>4</v>
      </c>
      <c r="D2">
        <v>17</v>
      </c>
      <c r="E2">
        <v>2002</v>
      </c>
      <c r="F2">
        <v>23</v>
      </c>
      <c r="G2">
        <v>488.35</v>
      </c>
    </row>
    <row r="3" spans="1:7" x14ac:dyDescent="0.25">
      <c r="A3">
        <v>46</v>
      </c>
      <c r="B3">
        <v>19</v>
      </c>
      <c r="C3">
        <v>0</v>
      </c>
      <c r="D3">
        <v>21</v>
      </c>
      <c r="E3">
        <v>2025</v>
      </c>
      <c r="F3">
        <v>0</v>
      </c>
      <c r="G3">
        <v>486.15</v>
      </c>
    </row>
    <row r="4" spans="1:7" x14ac:dyDescent="0.25">
      <c r="A4">
        <v>32</v>
      </c>
      <c r="B4">
        <v>11</v>
      </c>
      <c r="C4">
        <v>4</v>
      </c>
      <c r="D4">
        <v>15</v>
      </c>
      <c r="E4">
        <v>2020</v>
      </c>
      <c r="F4">
        <v>5</v>
      </c>
      <c r="G4">
        <v>497.55</v>
      </c>
    </row>
    <row r="5" spans="1:7" x14ac:dyDescent="0.25">
      <c r="A5">
        <v>60</v>
      </c>
      <c r="B5">
        <v>0</v>
      </c>
      <c r="C5">
        <v>4</v>
      </c>
      <c r="D5">
        <v>19</v>
      </c>
      <c r="E5">
        <v>1991</v>
      </c>
      <c r="F5">
        <v>34</v>
      </c>
      <c r="G5">
        <v>498.35</v>
      </c>
    </row>
    <row r="6" spans="1:7" x14ac:dyDescent="0.25">
      <c r="A6">
        <v>25</v>
      </c>
      <c r="B6">
        <v>7</v>
      </c>
      <c r="C6">
        <v>0</v>
      </c>
      <c r="D6">
        <v>13</v>
      </c>
      <c r="E6">
        <v>2005</v>
      </c>
      <c r="F6">
        <v>20</v>
      </c>
      <c r="G6">
        <v>495.55</v>
      </c>
    </row>
    <row r="7" spans="1:7" x14ac:dyDescent="0.25">
      <c r="A7">
        <v>38</v>
      </c>
      <c r="B7">
        <v>13</v>
      </c>
      <c r="C7">
        <v>2</v>
      </c>
      <c r="D7">
        <v>11</v>
      </c>
      <c r="E7">
        <v>1998</v>
      </c>
      <c r="F7">
        <v>27</v>
      </c>
      <c r="G7">
        <v>494.75</v>
      </c>
    </row>
    <row r="8" spans="1:7" x14ac:dyDescent="0.25">
      <c r="A8">
        <v>56</v>
      </c>
      <c r="B8">
        <v>37</v>
      </c>
      <c r="C8">
        <v>3</v>
      </c>
      <c r="D8">
        <v>14</v>
      </c>
      <c r="E8">
        <v>1998</v>
      </c>
      <c r="F8">
        <v>27</v>
      </c>
      <c r="G8">
        <v>485.6</v>
      </c>
    </row>
    <row r="9" spans="1:7" x14ac:dyDescent="0.25">
      <c r="A9">
        <v>36</v>
      </c>
      <c r="B9">
        <v>18</v>
      </c>
      <c r="C9">
        <v>1</v>
      </c>
      <c r="D9">
        <v>19</v>
      </c>
      <c r="E9">
        <v>2000</v>
      </c>
      <c r="F9">
        <v>25</v>
      </c>
      <c r="G9">
        <v>492.35</v>
      </c>
    </row>
    <row r="10" spans="1:7" x14ac:dyDescent="0.25">
      <c r="A10">
        <v>40</v>
      </c>
      <c r="B10">
        <v>10</v>
      </c>
      <c r="C10">
        <v>4</v>
      </c>
      <c r="D10">
        <v>14</v>
      </c>
      <c r="E10">
        <v>2011</v>
      </c>
      <c r="F10">
        <v>14</v>
      </c>
      <c r="G10">
        <v>497.1</v>
      </c>
    </row>
    <row r="11" spans="1:7" x14ac:dyDescent="0.25">
      <c r="A11">
        <v>28</v>
      </c>
      <c r="B11">
        <v>10</v>
      </c>
      <c r="C11">
        <v>5</v>
      </c>
      <c r="D11">
        <v>12</v>
      </c>
      <c r="E11">
        <v>2022</v>
      </c>
      <c r="F11">
        <v>3</v>
      </c>
      <c r="G11">
        <v>499.8</v>
      </c>
    </row>
    <row r="12" spans="1:7" x14ac:dyDescent="0.25">
      <c r="A12">
        <v>28</v>
      </c>
      <c r="B12">
        <v>10</v>
      </c>
      <c r="C12">
        <v>5</v>
      </c>
      <c r="D12">
        <v>20</v>
      </c>
      <c r="E12">
        <v>2025</v>
      </c>
      <c r="F12">
        <v>0</v>
      </c>
      <c r="G12">
        <v>499.9</v>
      </c>
    </row>
    <row r="13" spans="1:7" x14ac:dyDescent="0.25">
      <c r="A13">
        <v>41</v>
      </c>
      <c r="B13">
        <v>2</v>
      </c>
      <c r="C13">
        <v>3</v>
      </c>
      <c r="D13">
        <v>24</v>
      </c>
      <c r="E13">
        <v>2012</v>
      </c>
      <c r="F13">
        <v>13</v>
      </c>
      <c r="G13">
        <v>498.2</v>
      </c>
    </row>
    <row r="14" spans="1:7" x14ac:dyDescent="0.25">
      <c r="A14">
        <v>53</v>
      </c>
      <c r="B14">
        <v>32</v>
      </c>
      <c r="C14">
        <v>5</v>
      </c>
      <c r="D14">
        <v>24</v>
      </c>
      <c r="E14">
        <v>2023</v>
      </c>
      <c r="F14">
        <v>2</v>
      </c>
      <c r="G14">
        <v>488.7</v>
      </c>
    </row>
    <row r="15" spans="1:7" x14ac:dyDescent="0.25">
      <c r="A15">
        <v>57</v>
      </c>
      <c r="B15">
        <v>5</v>
      </c>
      <c r="C15">
        <v>2</v>
      </c>
      <c r="D15">
        <v>15</v>
      </c>
      <c r="E15">
        <v>1998</v>
      </c>
      <c r="F15">
        <v>27</v>
      </c>
      <c r="G15">
        <v>493.55</v>
      </c>
    </row>
    <row r="16" spans="1:7" x14ac:dyDescent="0.25">
      <c r="A16">
        <v>41</v>
      </c>
      <c r="B16">
        <v>9</v>
      </c>
      <c r="C16">
        <v>5</v>
      </c>
      <c r="D16">
        <v>13</v>
      </c>
      <c r="E16">
        <v>2013</v>
      </c>
      <c r="F16">
        <v>12</v>
      </c>
      <c r="G16">
        <v>498.45</v>
      </c>
    </row>
    <row r="17" spans="1:7" x14ac:dyDescent="0.25">
      <c r="A17">
        <v>20</v>
      </c>
      <c r="B17">
        <v>2</v>
      </c>
      <c r="C17">
        <v>1</v>
      </c>
      <c r="D17">
        <v>23</v>
      </c>
      <c r="E17">
        <v>1997</v>
      </c>
      <c r="F17">
        <v>28</v>
      </c>
      <c r="G17">
        <v>500.85</v>
      </c>
    </row>
    <row r="18" spans="1:7" x14ac:dyDescent="0.25">
      <c r="A18">
        <v>39</v>
      </c>
      <c r="B18">
        <v>21</v>
      </c>
      <c r="C18">
        <v>1</v>
      </c>
      <c r="D18">
        <v>22</v>
      </c>
      <c r="E18">
        <v>1996</v>
      </c>
      <c r="F18">
        <v>29</v>
      </c>
      <c r="G18">
        <v>491.4</v>
      </c>
    </row>
    <row r="19" spans="1:7" x14ac:dyDescent="0.25">
      <c r="A19">
        <v>19</v>
      </c>
      <c r="B19">
        <v>1</v>
      </c>
      <c r="C19">
        <v>4</v>
      </c>
      <c r="D19">
        <v>23</v>
      </c>
      <c r="E19">
        <v>2025</v>
      </c>
      <c r="F19">
        <v>0</v>
      </c>
      <c r="G19">
        <v>503.05</v>
      </c>
    </row>
    <row r="20" spans="1:7" x14ac:dyDescent="0.25">
      <c r="A20">
        <v>41</v>
      </c>
      <c r="B20">
        <v>1</v>
      </c>
      <c r="C20">
        <v>0</v>
      </c>
      <c r="D20">
        <v>19</v>
      </c>
      <c r="E20">
        <v>2007</v>
      </c>
      <c r="F20">
        <v>18</v>
      </c>
      <c r="G20">
        <v>494.25</v>
      </c>
    </row>
    <row r="21" spans="1:7" x14ac:dyDescent="0.25">
      <c r="A21">
        <v>61</v>
      </c>
      <c r="B21">
        <v>12</v>
      </c>
      <c r="C21">
        <v>2</v>
      </c>
      <c r="D21">
        <v>14</v>
      </c>
      <c r="E21">
        <v>1992</v>
      </c>
      <c r="F21">
        <v>33</v>
      </c>
      <c r="G21">
        <v>491.2</v>
      </c>
    </row>
    <row r="22" spans="1:7" x14ac:dyDescent="0.25">
      <c r="A22">
        <v>47</v>
      </c>
      <c r="B22">
        <v>29</v>
      </c>
      <c r="C22">
        <v>4</v>
      </c>
      <c r="D22">
        <v>16</v>
      </c>
      <c r="E22">
        <v>2017</v>
      </c>
      <c r="F22">
        <v>8</v>
      </c>
      <c r="G22">
        <v>489.5</v>
      </c>
    </row>
    <row r="23" spans="1:7" x14ac:dyDescent="0.25">
      <c r="A23">
        <v>55</v>
      </c>
      <c r="B23">
        <v>1</v>
      </c>
      <c r="C23">
        <v>2</v>
      </c>
      <c r="D23">
        <v>12</v>
      </c>
      <c r="E23">
        <v>1995</v>
      </c>
      <c r="F23">
        <v>30</v>
      </c>
      <c r="G23">
        <v>495.3</v>
      </c>
    </row>
    <row r="24" spans="1:7" x14ac:dyDescent="0.25">
      <c r="A24">
        <v>19</v>
      </c>
      <c r="B24">
        <v>1</v>
      </c>
      <c r="C24">
        <v>0</v>
      </c>
      <c r="D24">
        <v>16</v>
      </c>
      <c r="E24">
        <v>2010</v>
      </c>
      <c r="F24">
        <v>15</v>
      </c>
      <c r="G24">
        <v>498.2</v>
      </c>
    </row>
    <row r="25" spans="1:7" x14ac:dyDescent="0.25">
      <c r="A25">
        <v>38</v>
      </c>
      <c r="B25">
        <v>0</v>
      </c>
      <c r="C25">
        <v>5</v>
      </c>
      <c r="D25">
        <v>13</v>
      </c>
      <c r="E25">
        <v>2017</v>
      </c>
      <c r="F25">
        <v>8</v>
      </c>
      <c r="G25">
        <v>501.35</v>
      </c>
    </row>
    <row r="26" spans="1:7" x14ac:dyDescent="0.25">
      <c r="A26">
        <v>50</v>
      </c>
      <c r="B26">
        <v>32</v>
      </c>
      <c r="C26">
        <v>5</v>
      </c>
      <c r="D26">
        <v>22</v>
      </c>
      <c r="E26">
        <v>1990</v>
      </c>
      <c r="F26">
        <v>35</v>
      </c>
      <c r="G26">
        <v>492.5</v>
      </c>
    </row>
    <row r="27" spans="1:7" x14ac:dyDescent="0.25">
      <c r="A27">
        <v>29</v>
      </c>
      <c r="B27">
        <v>8</v>
      </c>
      <c r="C27">
        <v>0</v>
      </c>
      <c r="D27">
        <v>22</v>
      </c>
      <c r="E27">
        <v>2025</v>
      </c>
      <c r="F27">
        <v>0</v>
      </c>
      <c r="G27">
        <v>492.9</v>
      </c>
    </row>
    <row r="28" spans="1:7" x14ac:dyDescent="0.25">
      <c r="A28">
        <v>39</v>
      </c>
      <c r="B28">
        <v>16</v>
      </c>
      <c r="C28">
        <v>4</v>
      </c>
      <c r="D28">
        <v>19</v>
      </c>
      <c r="E28">
        <v>2010</v>
      </c>
      <c r="F28">
        <v>15</v>
      </c>
      <c r="G28">
        <v>495.85</v>
      </c>
    </row>
    <row r="29" spans="1:7" x14ac:dyDescent="0.25">
      <c r="A29">
        <v>61</v>
      </c>
      <c r="B29">
        <v>8</v>
      </c>
      <c r="C29">
        <v>0</v>
      </c>
      <c r="D29">
        <v>21</v>
      </c>
      <c r="E29">
        <v>2024</v>
      </c>
      <c r="F29">
        <v>1</v>
      </c>
      <c r="G29">
        <v>486.55</v>
      </c>
    </row>
    <row r="30" spans="1:7" x14ac:dyDescent="0.25">
      <c r="A30">
        <v>42</v>
      </c>
      <c r="B30">
        <v>10</v>
      </c>
      <c r="C30">
        <v>3</v>
      </c>
      <c r="D30">
        <v>12</v>
      </c>
      <c r="E30">
        <v>2002</v>
      </c>
      <c r="F30">
        <v>23</v>
      </c>
      <c r="G30">
        <v>496</v>
      </c>
    </row>
    <row r="31" spans="1:7" x14ac:dyDescent="0.25">
      <c r="A31">
        <v>44</v>
      </c>
      <c r="B31">
        <v>14</v>
      </c>
      <c r="C31">
        <v>1</v>
      </c>
      <c r="D31">
        <v>25</v>
      </c>
      <c r="E31">
        <v>1999</v>
      </c>
      <c r="F31">
        <v>26</v>
      </c>
      <c r="G31">
        <v>492.35</v>
      </c>
    </row>
    <row r="32" spans="1:7" x14ac:dyDescent="0.25">
      <c r="A32">
        <v>59</v>
      </c>
      <c r="B32">
        <v>23</v>
      </c>
      <c r="C32">
        <v>4</v>
      </c>
      <c r="D32">
        <v>22</v>
      </c>
      <c r="E32">
        <v>1999</v>
      </c>
      <c r="F32">
        <v>26</v>
      </c>
      <c r="G32">
        <v>491</v>
      </c>
    </row>
    <row r="33" spans="1:7" x14ac:dyDescent="0.25">
      <c r="A33">
        <v>45</v>
      </c>
      <c r="B33">
        <v>27</v>
      </c>
      <c r="C33">
        <v>2</v>
      </c>
      <c r="D33">
        <v>22</v>
      </c>
      <c r="E33">
        <v>2002</v>
      </c>
      <c r="F33">
        <v>23</v>
      </c>
      <c r="G33">
        <v>489.3</v>
      </c>
    </row>
    <row r="34" spans="1:7" x14ac:dyDescent="0.25">
      <c r="A34">
        <v>33</v>
      </c>
      <c r="B34">
        <v>15</v>
      </c>
      <c r="C34">
        <v>3</v>
      </c>
      <c r="D34">
        <v>19</v>
      </c>
      <c r="E34">
        <v>2013</v>
      </c>
      <c r="F34">
        <v>12</v>
      </c>
      <c r="G34">
        <v>495.55</v>
      </c>
    </row>
    <row r="35" spans="1:7" x14ac:dyDescent="0.25">
      <c r="A35">
        <v>32</v>
      </c>
      <c r="B35">
        <v>14</v>
      </c>
      <c r="C35">
        <v>4</v>
      </c>
      <c r="D35">
        <v>15</v>
      </c>
      <c r="E35">
        <v>1991</v>
      </c>
      <c r="F35">
        <v>34</v>
      </c>
      <c r="G35">
        <v>499.55</v>
      </c>
    </row>
    <row r="36" spans="1:7" x14ac:dyDescent="0.25">
      <c r="A36">
        <v>64</v>
      </c>
      <c r="B36">
        <v>30</v>
      </c>
      <c r="C36">
        <v>0</v>
      </c>
      <c r="D36">
        <v>18</v>
      </c>
      <c r="E36">
        <v>2011</v>
      </c>
      <c r="F36">
        <v>14</v>
      </c>
      <c r="G36">
        <v>480.5</v>
      </c>
    </row>
    <row r="37" spans="1:7" x14ac:dyDescent="0.25">
      <c r="A37">
        <v>61</v>
      </c>
      <c r="B37">
        <v>4</v>
      </c>
      <c r="C37">
        <v>0</v>
      </c>
      <c r="D37">
        <v>12</v>
      </c>
      <c r="E37">
        <v>2006</v>
      </c>
      <c r="F37">
        <v>19</v>
      </c>
      <c r="G37">
        <v>489.1</v>
      </c>
    </row>
    <row r="38" spans="1:7" x14ac:dyDescent="0.25">
      <c r="A38">
        <v>20</v>
      </c>
      <c r="B38">
        <v>2</v>
      </c>
      <c r="C38">
        <v>0</v>
      </c>
      <c r="D38">
        <v>16</v>
      </c>
      <c r="E38">
        <v>2025</v>
      </c>
      <c r="F38">
        <v>0</v>
      </c>
      <c r="G38">
        <v>496.2</v>
      </c>
    </row>
    <row r="39" spans="1:7" x14ac:dyDescent="0.25">
      <c r="A39">
        <v>54</v>
      </c>
      <c r="B39">
        <v>10</v>
      </c>
      <c r="C39">
        <v>0</v>
      </c>
      <c r="D39">
        <v>13</v>
      </c>
      <c r="E39">
        <v>2003</v>
      </c>
      <c r="F39">
        <v>22</v>
      </c>
      <c r="G39">
        <v>489.05</v>
      </c>
    </row>
    <row r="40" spans="1:7" x14ac:dyDescent="0.25">
      <c r="A40">
        <v>24</v>
      </c>
      <c r="B40">
        <v>6</v>
      </c>
      <c r="C40">
        <v>2</v>
      </c>
      <c r="D40">
        <v>22</v>
      </c>
      <c r="E40">
        <v>1999</v>
      </c>
      <c r="F40">
        <v>26</v>
      </c>
      <c r="G40">
        <v>500.1</v>
      </c>
    </row>
    <row r="41" spans="1:7" x14ac:dyDescent="0.25">
      <c r="A41">
        <v>38</v>
      </c>
      <c r="B41">
        <v>20</v>
      </c>
      <c r="C41">
        <v>3</v>
      </c>
      <c r="D41">
        <v>22</v>
      </c>
      <c r="E41">
        <v>2024</v>
      </c>
      <c r="F41">
        <v>1</v>
      </c>
      <c r="G41">
        <v>492.1</v>
      </c>
    </row>
    <row r="42" spans="1:7" x14ac:dyDescent="0.25">
      <c r="A42">
        <v>26</v>
      </c>
      <c r="B42">
        <v>8</v>
      </c>
      <c r="C42">
        <v>5</v>
      </c>
      <c r="D42">
        <v>24</v>
      </c>
      <c r="E42">
        <v>2014</v>
      </c>
      <c r="F42">
        <v>11</v>
      </c>
      <c r="G42">
        <v>502.2</v>
      </c>
    </row>
    <row r="43" spans="1:7" x14ac:dyDescent="0.25">
      <c r="A43">
        <v>56</v>
      </c>
      <c r="B43">
        <v>34</v>
      </c>
      <c r="C43">
        <v>1</v>
      </c>
      <c r="D43">
        <v>20</v>
      </c>
      <c r="E43">
        <v>1992</v>
      </c>
      <c r="F43">
        <v>33</v>
      </c>
      <c r="G43">
        <v>484.4</v>
      </c>
    </row>
    <row r="44" spans="1:7" x14ac:dyDescent="0.25">
      <c r="A44">
        <v>35</v>
      </c>
      <c r="B44">
        <v>17</v>
      </c>
      <c r="C44">
        <v>2</v>
      </c>
      <c r="D44">
        <v>15</v>
      </c>
      <c r="E44">
        <v>2006</v>
      </c>
      <c r="F44">
        <v>19</v>
      </c>
      <c r="G44">
        <v>493.55</v>
      </c>
    </row>
    <row r="45" spans="1:7" x14ac:dyDescent="0.25">
      <c r="A45">
        <v>21</v>
      </c>
      <c r="B45">
        <v>0</v>
      </c>
      <c r="C45">
        <v>2</v>
      </c>
      <c r="D45">
        <v>22</v>
      </c>
      <c r="E45">
        <v>2001</v>
      </c>
      <c r="F45">
        <v>24</v>
      </c>
      <c r="G45">
        <v>502.3</v>
      </c>
    </row>
    <row r="46" spans="1:7" x14ac:dyDescent="0.25">
      <c r="A46">
        <v>42</v>
      </c>
      <c r="B46">
        <v>24</v>
      </c>
      <c r="C46">
        <v>5</v>
      </c>
      <c r="D46">
        <v>18</v>
      </c>
      <c r="E46">
        <v>2013</v>
      </c>
      <c r="F46">
        <v>12</v>
      </c>
      <c r="G46">
        <v>494</v>
      </c>
    </row>
    <row r="47" spans="1:7" x14ac:dyDescent="0.25">
      <c r="A47">
        <v>31</v>
      </c>
      <c r="B47">
        <v>13</v>
      </c>
      <c r="C47">
        <v>5</v>
      </c>
      <c r="D47">
        <v>20</v>
      </c>
      <c r="E47">
        <v>2018</v>
      </c>
      <c r="F47">
        <v>7</v>
      </c>
      <c r="G47">
        <v>499.1</v>
      </c>
    </row>
    <row r="48" spans="1:7" x14ac:dyDescent="0.25">
      <c r="A48">
        <v>26</v>
      </c>
      <c r="B48">
        <v>8</v>
      </c>
      <c r="C48">
        <v>1</v>
      </c>
      <c r="D48">
        <v>24</v>
      </c>
      <c r="E48">
        <v>2014</v>
      </c>
      <c r="F48">
        <v>11</v>
      </c>
      <c r="G48">
        <v>496.2</v>
      </c>
    </row>
    <row r="49" spans="1:7" x14ac:dyDescent="0.25">
      <c r="A49">
        <v>43</v>
      </c>
      <c r="B49">
        <v>7</v>
      </c>
      <c r="C49">
        <v>1</v>
      </c>
      <c r="D49">
        <v>11</v>
      </c>
      <c r="E49">
        <v>2025</v>
      </c>
      <c r="F49">
        <v>0</v>
      </c>
      <c r="G49">
        <v>491.35</v>
      </c>
    </row>
    <row r="50" spans="1:7" x14ac:dyDescent="0.25">
      <c r="A50">
        <v>19</v>
      </c>
      <c r="B50">
        <v>1</v>
      </c>
      <c r="C50">
        <v>5</v>
      </c>
      <c r="D50">
        <v>15</v>
      </c>
      <c r="E50">
        <v>2015</v>
      </c>
      <c r="F50">
        <v>10</v>
      </c>
      <c r="G50">
        <v>505.15</v>
      </c>
    </row>
    <row r="51" spans="1:7" x14ac:dyDescent="0.25">
      <c r="A51">
        <v>37</v>
      </c>
      <c r="B51">
        <v>19</v>
      </c>
      <c r="C51">
        <v>0</v>
      </c>
      <c r="D51">
        <v>13</v>
      </c>
      <c r="E51">
        <v>1990</v>
      </c>
      <c r="F51">
        <v>35</v>
      </c>
      <c r="G51">
        <v>491.05</v>
      </c>
    </row>
    <row r="52" spans="1:7" x14ac:dyDescent="0.25">
      <c r="A52">
        <v>45</v>
      </c>
      <c r="B52">
        <v>27</v>
      </c>
      <c r="C52">
        <v>2</v>
      </c>
      <c r="D52">
        <v>14</v>
      </c>
      <c r="E52">
        <v>2009</v>
      </c>
      <c r="F52">
        <v>16</v>
      </c>
      <c r="G52">
        <v>488.2</v>
      </c>
    </row>
    <row r="53" spans="1:7" x14ac:dyDescent="0.25">
      <c r="A53">
        <v>64</v>
      </c>
      <c r="B53">
        <v>13</v>
      </c>
      <c r="C53">
        <v>4</v>
      </c>
      <c r="D53">
        <v>12</v>
      </c>
      <c r="E53">
        <v>2017</v>
      </c>
      <c r="F53">
        <v>8</v>
      </c>
      <c r="G53">
        <v>490.7</v>
      </c>
    </row>
    <row r="54" spans="1:7" x14ac:dyDescent="0.25">
      <c r="A54">
        <v>24</v>
      </c>
      <c r="B54">
        <v>6</v>
      </c>
      <c r="C54">
        <v>1</v>
      </c>
      <c r="D54">
        <v>19</v>
      </c>
      <c r="E54">
        <v>2005</v>
      </c>
      <c r="F54">
        <v>20</v>
      </c>
      <c r="G54">
        <v>497.85</v>
      </c>
    </row>
    <row r="55" spans="1:7" x14ac:dyDescent="0.25">
      <c r="A55">
        <v>61</v>
      </c>
      <c r="B55">
        <v>34</v>
      </c>
      <c r="C55">
        <v>1</v>
      </c>
      <c r="D55">
        <v>13</v>
      </c>
      <c r="E55">
        <v>2006</v>
      </c>
      <c r="F55">
        <v>19</v>
      </c>
      <c r="G55">
        <v>481.65</v>
      </c>
    </row>
    <row r="56" spans="1:7" x14ac:dyDescent="0.25">
      <c r="A56">
        <v>25</v>
      </c>
      <c r="B56">
        <v>7</v>
      </c>
      <c r="C56">
        <v>5</v>
      </c>
      <c r="D56">
        <v>25</v>
      </c>
      <c r="E56">
        <v>2017</v>
      </c>
      <c r="F56">
        <v>8</v>
      </c>
      <c r="G56">
        <v>502.45</v>
      </c>
    </row>
    <row r="57" spans="1:7" x14ac:dyDescent="0.25">
      <c r="A57">
        <v>64</v>
      </c>
      <c r="B57">
        <v>36</v>
      </c>
      <c r="C57">
        <v>3</v>
      </c>
      <c r="D57">
        <v>12</v>
      </c>
      <c r="E57">
        <v>2001</v>
      </c>
      <c r="F57">
        <v>24</v>
      </c>
      <c r="G57">
        <v>483.9</v>
      </c>
    </row>
    <row r="58" spans="1:7" x14ac:dyDescent="0.25">
      <c r="A58">
        <v>52</v>
      </c>
      <c r="B58">
        <v>4</v>
      </c>
      <c r="C58">
        <v>4</v>
      </c>
      <c r="D58">
        <v>20</v>
      </c>
      <c r="E58">
        <v>2016</v>
      </c>
      <c r="F58">
        <v>9</v>
      </c>
      <c r="G58">
        <v>496.3</v>
      </c>
    </row>
    <row r="59" spans="1:7" x14ac:dyDescent="0.25">
      <c r="A59">
        <v>31</v>
      </c>
      <c r="B59">
        <v>13</v>
      </c>
      <c r="C59">
        <v>4</v>
      </c>
      <c r="D59">
        <v>21</v>
      </c>
      <c r="E59">
        <v>2019</v>
      </c>
      <c r="F59">
        <v>6</v>
      </c>
      <c r="G59">
        <v>497.55</v>
      </c>
    </row>
    <row r="60" spans="1:7" x14ac:dyDescent="0.25">
      <c r="A60">
        <v>34</v>
      </c>
      <c r="B60">
        <v>13</v>
      </c>
      <c r="C60">
        <v>1</v>
      </c>
      <c r="D60">
        <v>19</v>
      </c>
      <c r="E60">
        <v>2023</v>
      </c>
      <c r="F60">
        <v>2</v>
      </c>
      <c r="G60">
        <v>491.95</v>
      </c>
    </row>
    <row r="61" spans="1:7" x14ac:dyDescent="0.25">
      <c r="A61">
        <v>53</v>
      </c>
      <c r="B61">
        <v>25</v>
      </c>
      <c r="C61">
        <v>0</v>
      </c>
      <c r="D61">
        <v>17</v>
      </c>
      <c r="E61">
        <v>1995</v>
      </c>
      <c r="F61">
        <v>30</v>
      </c>
      <c r="G61">
        <v>485.75</v>
      </c>
    </row>
    <row r="62" spans="1:7" x14ac:dyDescent="0.25">
      <c r="A62">
        <v>57</v>
      </c>
      <c r="B62">
        <v>3</v>
      </c>
      <c r="C62">
        <v>3</v>
      </c>
      <c r="D62">
        <v>16</v>
      </c>
      <c r="E62">
        <v>1996</v>
      </c>
      <c r="F62">
        <v>29</v>
      </c>
      <c r="G62">
        <v>495.9</v>
      </c>
    </row>
    <row r="63" spans="1:7" x14ac:dyDescent="0.25">
      <c r="A63">
        <v>21</v>
      </c>
      <c r="B63">
        <v>3</v>
      </c>
      <c r="C63">
        <v>4</v>
      </c>
      <c r="D63">
        <v>11</v>
      </c>
      <c r="E63">
        <v>2021</v>
      </c>
      <c r="F63">
        <v>4</v>
      </c>
      <c r="G63">
        <v>501.85</v>
      </c>
    </row>
    <row r="64" spans="1:7" x14ac:dyDescent="0.25">
      <c r="A64">
        <v>19</v>
      </c>
      <c r="B64">
        <v>1</v>
      </c>
      <c r="C64">
        <v>1</v>
      </c>
      <c r="D64">
        <v>15</v>
      </c>
      <c r="E64">
        <v>2021</v>
      </c>
      <c r="F64">
        <v>4</v>
      </c>
      <c r="G64">
        <v>498.55</v>
      </c>
    </row>
    <row r="65" spans="1:7" x14ac:dyDescent="0.25">
      <c r="A65">
        <v>23</v>
      </c>
      <c r="B65">
        <v>5</v>
      </c>
      <c r="C65">
        <v>4</v>
      </c>
      <c r="D65">
        <v>22</v>
      </c>
      <c r="E65">
        <v>2014</v>
      </c>
      <c r="F65">
        <v>11</v>
      </c>
      <c r="G65">
        <v>502.1</v>
      </c>
    </row>
    <row r="66" spans="1:7" x14ac:dyDescent="0.25">
      <c r="A66">
        <v>59</v>
      </c>
      <c r="B66">
        <v>39</v>
      </c>
      <c r="C66">
        <v>3</v>
      </c>
      <c r="D66">
        <v>21</v>
      </c>
      <c r="E66">
        <v>2022</v>
      </c>
      <c r="F66">
        <v>3</v>
      </c>
      <c r="G66">
        <v>482.35</v>
      </c>
    </row>
    <row r="67" spans="1:7" x14ac:dyDescent="0.25">
      <c r="A67">
        <v>21</v>
      </c>
      <c r="B67">
        <v>3</v>
      </c>
      <c r="C67">
        <v>3</v>
      </c>
      <c r="D67">
        <v>24</v>
      </c>
      <c r="E67">
        <v>1996</v>
      </c>
      <c r="F67">
        <v>29</v>
      </c>
      <c r="G67">
        <v>503.5</v>
      </c>
    </row>
    <row r="68" spans="1:7" x14ac:dyDescent="0.25">
      <c r="A68">
        <v>46</v>
      </c>
      <c r="B68">
        <v>28</v>
      </c>
      <c r="C68">
        <v>2</v>
      </c>
      <c r="D68">
        <v>25</v>
      </c>
      <c r="E68">
        <v>2001</v>
      </c>
      <c r="F68">
        <v>24</v>
      </c>
      <c r="G68">
        <v>489.05</v>
      </c>
    </row>
    <row r="69" spans="1:7" x14ac:dyDescent="0.25">
      <c r="A69">
        <v>35</v>
      </c>
      <c r="B69">
        <v>17</v>
      </c>
      <c r="C69">
        <v>5</v>
      </c>
      <c r="D69">
        <v>21</v>
      </c>
      <c r="E69">
        <v>2005</v>
      </c>
      <c r="F69">
        <v>20</v>
      </c>
      <c r="G69">
        <v>498.45</v>
      </c>
    </row>
    <row r="70" spans="1:7" x14ac:dyDescent="0.25">
      <c r="A70">
        <v>43</v>
      </c>
      <c r="B70">
        <v>13</v>
      </c>
      <c r="C70">
        <v>5</v>
      </c>
      <c r="D70">
        <v>13</v>
      </c>
      <c r="E70">
        <v>2005</v>
      </c>
      <c r="F70">
        <v>20</v>
      </c>
      <c r="G70">
        <v>497.65</v>
      </c>
    </row>
    <row r="71" spans="1:7" x14ac:dyDescent="0.25">
      <c r="A71">
        <v>61</v>
      </c>
      <c r="B71">
        <v>31</v>
      </c>
      <c r="C71">
        <v>1</v>
      </c>
      <c r="D71">
        <v>11</v>
      </c>
      <c r="E71">
        <v>2025</v>
      </c>
      <c r="F71">
        <v>0</v>
      </c>
      <c r="G71">
        <v>480.55</v>
      </c>
    </row>
    <row r="72" spans="1:7" x14ac:dyDescent="0.25">
      <c r="A72">
        <v>51</v>
      </c>
      <c r="B72">
        <v>33</v>
      </c>
      <c r="C72">
        <v>3</v>
      </c>
      <c r="D72">
        <v>14</v>
      </c>
      <c r="E72">
        <v>2002</v>
      </c>
      <c r="F72">
        <v>23</v>
      </c>
      <c r="G72">
        <v>487.4</v>
      </c>
    </row>
    <row r="73" spans="1:7" x14ac:dyDescent="0.25">
      <c r="A73">
        <v>27</v>
      </c>
      <c r="B73">
        <v>9</v>
      </c>
      <c r="C73">
        <v>2</v>
      </c>
      <c r="D73">
        <v>23</v>
      </c>
      <c r="E73">
        <v>1996</v>
      </c>
      <c r="F73">
        <v>29</v>
      </c>
      <c r="G73">
        <v>498.95</v>
      </c>
    </row>
    <row r="74" spans="1:7" x14ac:dyDescent="0.25">
      <c r="A74">
        <v>53</v>
      </c>
      <c r="B74">
        <v>22</v>
      </c>
      <c r="C74">
        <v>2</v>
      </c>
      <c r="D74">
        <v>12</v>
      </c>
      <c r="E74">
        <v>2025</v>
      </c>
      <c r="F74">
        <v>0</v>
      </c>
      <c r="G74">
        <v>486.4</v>
      </c>
    </row>
    <row r="75" spans="1:7" x14ac:dyDescent="0.25">
      <c r="A75">
        <v>31</v>
      </c>
      <c r="B75">
        <v>13</v>
      </c>
      <c r="C75">
        <v>4</v>
      </c>
      <c r="D75">
        <v>12</v>
      </c>
      <c r="E75">
        <v>1998</v>
      </c>
      <c r="F75">
        <v>27</v>
      </c>
      <c r="G75">
        <v>499.2</v>
      </c>
    </row>
    <row r="76" spans="1:7" x14ac:dyDescent="0.25">
      <c r="A76">
        <v>48</v>
      </c>
      <c r="B76">
        <v>30</v>
      </c>
      <c r="C76">
        <v>4</v>
      </c>
      <c r="D76">
        <v>13</v>
      </c>
      <c r="E76">
        <v>2021</v>
      </c>
      <c r="F76">
        <v>4</v>
      </c>
      <c r="G76">
        <v>488.45</v>
      </c>
    </row>
    <row r="77" spans="1:7" x14ac:dyDescent="0.25">
      <c r="A77">
        <v>65</v>
      </c>
      <c r="B77">
        <v>24</v>
      </c>
      <c r="C77">
        <v>2</v>
      </c>
      <c r="D77">
        <v>18</v>
      </c>
      <c r="E77">
        <v>2000</v>
      </c>
      <c r="F77">
        <v>25</v>
      </c>
      <c r="G77">
        <v>486.2</v>
      </c>
    </row>
    <row r="78" spans="1:7" x14ac:dyDescent="0.25">
      <c r="A78">
        <v>32</v>
      </c>
      <c r="B78">
        <v>14</v>
      </c>
      <c r="C78">
        <v>4</v>
      </c>
      <c r="D78">
        <v>18</v>
      </c>
      <c r="E78">
        <v>1997</v>
      </c>
      <c r="F78">
        <v>28</v>
      </c>
      <c r="G78">
        <v>499.1</v>
      </c>
    </row>
    <row r="79" spans="1:7" x14ac:dyDescent="0.25">
      <c r="A79">
        <v>25</v>
      </c>
      <c r="B79">
        <v>7</v>
      </c>
      <c r="C79">
        <v>3</v>
      </c>
      <c r="D79">
        <v>22</v>
      </c>
      <c r="E79">
        <v>2022</v>
      </c>
      <c r="F79">
        <v>3</v>
      </c>
      <c r="G79">
        <v>498.8</v>
      </c>
    </row>
    <row r="80" spans="1:7" x14ac:dyDescent="0.25">
      <c r="A80">
        <v>31</v>
      </c>
      <c r="B80">
        <v>1</v>
      </c>
      <c r="C80">
        <v>0</v>
      </c>
      <c r="D80">
        <v>25</v>
      </c>
      <c r="E80">
        <v>2012</v>
      </c>
      <c r="F80">
        <v>13</v>
      </c>
      <c r="G80">
        <v>496.05</v>
      </c>
    </row>
    <row r="81" spans="1:7" x14ac:dyDescent="0.25">
      <c r="A81">
        <v>40</v>
      </c>
      <c r="B81">
        <v>13</v>
      </c>
      <c r="C81">
        <v>3</v>
      </c>
      <c r="D81">
        <v>17</v>
      </c>
      <c r="E81">
        <v>2014</v>
      </c>
      <c r="F81">
        <v>11</v>
      </c>
      <c r="G81">
        <v>494.55</v>
      </c>
    </row>
    <row r="82" spans="1:7" x14ac:dyDescent="0.25">
      <c r="A82">
        <v>57</v>
      </c>
      <c r="B82">
        <v>39</v>
      </c>
      <c r="C82">
        <v>2</v>
      </c>
      <c r="D82">
        <v>16</v>
      </c>
      <c r="E82">
        <v>1997</v>
      </c>
      <c r="F82">
        <v>28</v>
      </c>
      <c r="G82">
        <v>483.5</v>
      </c>
    </row>
    <row r="83" spans="1:7" x14ac:dyDescent="0.25">
      <c r="A83">
        <v>38</v>
      </c>
      <c r="B83">
        <v>20</v>
      </c>
      <c r="C83">
        <v>2</v>
      </c>
      <c r="D83">
        <v>19</v>
      </c>
      <c r="E83">
        <v>2011</v>
      </c>
      <c r="F83">
        <v>14</v>
      </c>
      <c r="G83">
        <v>491.75</v>
      </c>
    </row>
    <row r="84" spans="1:7" x14ac:dyDescent="0.25">
      <c r="A84">
        <v>33</v>
      </c>
      <c r="B84">
        <v>15</v>
      </c>
      <c r="C84">
        <v>3</v>
      </c>
      <c r="D84">
        <v>14</v>
      </c>
      <c r="E84">
        <v>1993</v>
      </c>
      <c r="F84">
        <v>32</v>
      </c>
      <c r="G84">
        <v>497.3</v>
      </c>
    </row>
    <row r="85" spans="1:7" x14ac:dyDescent="0.25">
      <c r="A85">
        <v>62</v>
      </c>
      <c r="B85">
        <v>5</v>
      </c>
      <c r="C85">
        <v>4</v>
      </c>
      <c r="D85">
        <v>22</v>
      </c>
      <c r="E85">
        <v>1992</v>
      </c>
      <c r="F85">
        <v>33</v>
      </c>
      <c r="G85">
        <v>496.5</v>
      </c>
    </row>
    <row r="86" spans="1:7" x14ac:dyDescent="0.25">
      <c r="A86">
        <v>35</v>
      </c>
      <c r="B86">
        <v>5</v>
      </c>
      <c r="C86">
        <v>4</v>
      </c>
      <c r="D86">
        <v>11</v>
      </c>
      <c r="E86">
        <v>2018</v>
      </c>
      <c r="F86">
        <v>7</v>
      </c>
      <c r="G86">
        <v>498.75</v>
      </c>
    </row>
    <row r="87" spans="1:7" x14ac:dyDescent="0.25">
      <c r="A87">
        <v>64</v>
      </c>
      <c r="B87">
        <v>2</v>
      </c>
      <c r="C87">
        <v>5</v>
      </c>
      <c r="D87">
        <v>18</v>
      </c>
      <c r="E87">
        <v>2018</v>
      </c>
      <c r="F87">
        <v>7</v>
      </c>
      <c r="G87">
        <v>495.7</v>
      </c>
    </row>
    <row r="88" spans="1:7" x14ac:dyDescent="0.25">
      <c r="A88">
        <v>41</v>
      </c>
      <c r="B88">
        <v>6</v>
      </c>
      <c r="C88">
        <v>2</v>
      </c>
      <c r="D88">
        <v>17</v>
      </c>
      <c r="E88">
        <v>2023</v>
      </c>
      <c r="F88">
        <v>2</v>
      </c>
      <c r="G88">
        <v>494.05</v>
      </c>
    </row>
    <row r="89" spans="1:7" x14ac:dyDescent="0.25">
      <c r="A89">
        <v>43</v>
      </c>
      <c r="B89">
        <v>7</v>
      </c>
      <c r="C89">
        <v>1</v>
      </c>
      <c r="D89">
        <v>17</v>
      </c>
      <c r="E89">
        <v>2023</v>
      </c>
      <c r="F89">
        <v>2</v>
      </c>
      <c r="G89">
        <v>491.85</v>
      </c>
    </row>
    <row r="90" spans="1:7" x14ac:dyDescent="0.25">
      <c r="A90">
        <v>42</v>
      </c>
      <c r="B90">
        <v>14</v>
      </c>
      <c r="C90">
        <v>5</v>
      </c>
      <c r="D90">
        <v>25</v>
      </c>
      <c r="E90">
        <v>2017</v>
      </c>
      <c r="F90">
        <v>8</v>
      </c>
      <c r="G90">
        <v>496.95</v>
      </c>
    </row>
    <row r="91" spans="1:7" x14ac:dyDescent="0.25">
      <c r="A91">
        <v>62</v>
      </c>
      <c r="B91">
        <v>28</v>
      </c>
      <c r="C91">
        <v>4</v>
      </c>
      <c r="D91">
        <v>13</v>
      </c>
      <c r="E91">
        <v>2002</v>
      </c>
      <c r="F91">
        <v>23</v>
      </c>
      <c r="G91">
        <v>488.15</v>
      </c>
    </row>
    <row r="92" spans="1:7" x14ac:dyDescent="0.25">
      <c r="A92">
        <v>58</v>
      </c>
      <c r="B92">
        <v>32</v>
      </c>
      <c r="C92">
        <v>3</v>
      </c>
      <c r="D92">
        <v>14</v>
      </c>
      <c r="E92">
        <v>2004</v>
      </c>
      <c r="F92">
        <v>21</v>
      </c>
      <c r="G92">
        <v>486.1</v>
      </c>
    </row>
    <row r="93" spans="1:7" x14ac:dyDescent="0.25">
      <c r="A93">
        <v>46</v>
      </c>
      <c r="B93">
        <v>28</v>
      </c>
      <c r="C93">
        <v>4</v>
      </c>
      <c r="D93">
        <v>20</v>
      </c>
      <c r="E93">
        <v>2012</v>
      </c>
      <c r="F93">
        <v>13</v>
      </c>
      <c r="G93">
        <v>490.7</v>
      </c>
    </row>
    <row r="94" spans="1:7" x14ac:dyDescent="0.25">
      <c r="A94">
        <v>32</v>
      </c>
      <c r="B94">
        <v>14</v>
      </c>
      <c r="C94">
        <v>3</v>
      </c>
      <c r="D94">
        <v>19</v>
      </c>
      <c r="E94">
        <v>2015</v>
      </c>
      <c r="F94">
        <v>10</v>
      </c>
      <c r="G94">
        <v>495.85</v>
      </c>
    </row>
    <row r="95" spans="1:7" x14ac:dyDescent="0.25">
      <c r="A95">
        <v>62</v>
      </c>
      <c r="B95">
        <v>26</v>
      </c>
      <c r="C95">
        <v>5</v>
      </c>
      <c r="D95">
        <v>25</v>
      </c>
      <c r="E95">
        <v>1993</v>
      </c>
      <c r="F95">
        <v>32</v>
      </c>
      <c r="G95">
        <v>491.75</v>
      </c>
    </row>
    <row r="96" spans="1:7" x14ac:dyDescent="0.25">
      <c r="A96">
        <v>18</v>
      </c>
      <c r="B96">
        <v>0</v>
      </c>
      <c r="C96">
        <v>2</v>
      </c>
      <c r="D96">
        <v>16</v>
      </c>
      <c r="E96">
        <v>2015</v>
      </c>
      <c r="F96">
        <v>10</v>
      </c>
      <c r="G96">
        <v>501.2</v>
      </c>
    </row>
    <row r="97" spans="1:7" x14ac:dyDescent="0.25">
      <c r="A97">
        <v>42</v>
      </c>
      <c r="B97">
        <v>24</v>
      </c>
      <c r="C97">
        <v>4</v>
      </c>
      <c r="D97">
        <v>25</v>
      </c>
      <c r="E97">
        <v>1998</v>
      </c>
      <c r="F97">
        <v>27</v>
      </c>
      <c r="G97">
        <v>494.35</v>
      </c>
    </row>
    <row r="98" spans="1:7" x14ac:dyDescent="0.25">
      <c r="A98">
        <v>24</v>
      </c>
      <c r="B98">
        <v>6</v>
      </c>
      <c r="C98">
        <v>3</v>
      </c>
      <c r="D98">
        <v>25</v>
      </c>
      <c r="E98">
        <v>1994</v>
      </c>
      <c r="F98">
        <v>31</v>
      </c>
      <c r="G98">
        <v>502.25</v>
      </c>
    </row>
    <row r="99" spans="1:7" x14ac:dyDescent="0.25">
      <c r="A99">
        <v>26</v>
      </c>
      <c r="B99">
        <v>8</v>
      </c>
      <c r="C99">
        <v>2</v>
      </c>
      <c r="D99">
        <v>15</v>
      </c>
      <c r="E99">
        <v>2021</v>
      </c>
      <c r="F99">
        <v>4</v>
      </c>
      <c r="G99">
        <v>496.55</v>
      </c>
    </row>
    <row r="100" spans="1:7" x14ac:dyDescent="0.25">
      <c r="A100">
        <v>41</v>
      </c>
      <c r="B100">
        <v>23</v>
      </c>
      <c r="C100">
        <v>1</v>
      </c>
      <c r="D100">
        <v>13</v>
      </c>
      <c r="E100">
        <v>2009</v>
      </c>
      <c r="F100">
        <v>16</v>
      </c>
      <c r="G100">
        <v>488.65</v>
      </c>
    </row>
    <row r="101" spans="1:7" x14ac:dyDescent="0.25">
      <c r="A101">
        <v>18</v>
      </c>
      <c r="B101">
        <v>0</v>
      </c>
      <c r="C101">
        <v>3</v>
      </c>
      <c r="D101">
        <v>19</v>
      </c>
      <c r="E101">
        <v>2000</v>
      </c>
      <c r="F101">
        <v>25</v>
      </c>
      <c r="G101">
        <v>504.35</v>
      </c>
    </row>
    <row r="102" spans="1:7" x14ac:dyDescent="0.25">
      <c r="A102">
        <v>61</v>
      </c>
      <c r="B102">
        <v>32</v>
      </c>
      <c r="C102">
        <v>5</v>
      </c>
      <c r="D102">
        <v>15</v>
      </c>
      <c r="E102">
        <v>2004</v>
      </c>
      <c r="F102">
        <v>21</v>
      </c>
      <c r="G102">
        <v>488.55</v>
      </c>
    </row>
    <row r="103" spans="1:7" x14ac:dyDescent="0.25">
      <c r="A103">
        <v>25</v>
      </c>
      <c r="B103">
        <v>3</v>
      </c>
      <c r="C103">
        <v>1</v>
      </c>
      <c r="D103">
        <v>15</v>
      </c>
      <c r="E103">
        <v>2021</v>
      </c>
      <c r="F103">
        <v>4</v>
      </c>
      <c r="G103">
        <v>496.75</v>
      </c>
    </row>
    <row r="104" spans="1:7" x14ac:dyDescent="0.25">
      <c r="A104">
        <v>41</v>
      </c>
      <c r="B104">
        <v>21</v>
      </c>
      <c r="C104">
        <v>1</v>
      </c>
      <c r="D104">
        <v>24</v>
      </c>
      <c r="E104">
        <v>2017</v>
      </c>
      <c r="F104">
        <v>8</v>
      </c>
      <c r="G104">
        <v>489</v>
      </c>
    </row>
    <row r="105" spans="1:7" x14ac:dyDescent="0.25">
      <c r="A105">
        <v>28</v>
      </c>
      <c r="B105">
        <v>1</v>
      </c>
      <c r="C105">
        <v>0</v>
      </c>
      <c r="D105">
        <v>14</v>
      </c>
      <c r="E105">
        <v>2011</v>
      </c>
      <c r="F105">
        <v>14</v>
      </c>
      <c r="G105">
        <v>496.2</v>
      </c>
    </row>
    <row r="106" spans="1:7" x14ac:dyDescent="0.25">
      <c r="A106">
        <v>34</v>
      </c>
      <c r="B106">
        <v>9</v>
      </c>
      <c r="C106">
        <v>4</v>
      </c>
      <c r="D106">
        <v>24</v>
      </c>
      <c r="E106">
        <v>2006</v>
      </c>
      <c r="F106">
        <v>19</v>
      </c>
      <c r="G106">
        <v>499.6</v>
      </c>
    </row>
    <row r="107" spans="1:7" x14ac:dyDescent="0.25">
      <c r="A107">
        <v>25</v>
      </c>
      <c r="B107">
        <v>4</v>
      </c>
      <c r="C107">
        <v>3</v>
      </c>
      <c r="D107">
        <v>14</v>
      </c>
      <c r="E107">
        <v>2015</v>
      </c>
      <c r="F107">
        <v>10</v>
      </c>
      <c r="G107">
        <v>500</v>
      </c>
    </row>
    <row r="108" spans="1:7" x14ac:dyDescent="0.25">
      <c r="A108">
        <v>52</v>
      </c>
      <c r="B108">
        <v>9</v>
      </c>
      <c r="C108">
        <v>1</v>
      </c>
      <c r="D108">
        <v>22</v>
      </c>
      <c r="E108">
        <v>1996</v>
      </c>
      <c r="F108">
        <v>29</v>
      </c>
      <c r="G108">
        <v>492.4</v>
      </c>
    </row>
    <row r="109" spans="1:7" x14ac:dyDescent="0.25">
      <c r="A109">
        <v>52</v>
      </c>
      <c r="B109">
        <v>32</v>
      </c>
      <c r="C109">
        <v>0</v>
      </c>
      <c r="D109">
        <v>11</v>
      </c>
      <c r="E109">
        <v>2015</v>
      </c>
      <c r="F109">
        <v>10</v>
      </c>
      <c r="G109">
        <v>481.55</v>
      </c>
    </row>
    <row r="110" spans="1:7" x14ac:dyDescent="0.25">
      <c r="A110">
        <v>50</v>
      </c>
      <c r="B110">
        <v>32</v>
      </c>
      <c r="C110">
        <v>5</v>
      </c>
      <c r="D110">
        <v>17</v>
      </c>
      <c r="E110">
        <v>2014</v>
      </c>
      <c r="F110">
        <v>11</v>
      </c>
      <c r="G110">
        <v>489.85</v>
      </c>
    </row>
    <row r="111" spans="1:7" x14ac:dyDescent="0.25">
      <c r="A111">
        <v>22</v>
      </c>
      <c r="B111">
        <v>4</v>
      </c>
      <c r="C111">
        <v>2</v>
      </c>
      <c r="D111">
        <v>19</v>
      </c>
      <c r="E111">
        <v>1999</v>
      </c>
      <c r="F111">
        <v>26</v>
      </c>
      <c r="G111">
        <v>500.95</v>
      </c>
    </row>
    <row r="112" spans="1:7" x14ac:dyDescent="0.25">
      <c r="A112">
        <v>59</v>
      </c>
      <c r="B112">
        <v>30</v>
      </c>
      <c r="C112">
        <v>3</v>
      </c>
      <c r="D112">
        <v>13</v>
      </c>
      <c r="E112">
        <v>2008</v>
      </c>
      <c r="F112">
        <v>17</v>
      </c>
      <c r="G112">
        <v>486.05</v>
      </c>
    </row>
    <row r="113" spans="1:7" x14ac:dyDescent="0.25">
      <c r="A113">
        <v>56</v>
      </c>
      <c r="B113">
        <v>35</v>
      </c>
      <c r="C113">
        <v>1</v>
      </c>
      <c r="D113">
        <v>22</v>
      </c>
      <c r="E113">
        <v>2000</v>
      </c>
      <c r="F113">
        <v>25</v>
      </c>
      <c r="G113">
        <v>483.4</v>
      </c>
    </row>
    <row r="114" spans="1:7" x14ac:dyDescent="0.25">
      <c r="A114">
        <v>58</v>
      </c>
      <c r="B114">
        <v>23</v>
      </c>
      <c r="C114">
        <v>4</v>
      </c>
      <c r="D114">
        <v>23</v>
      </c>
      <c r="E114">
        <v>2002</v>
      </c>
      <c r="F114">
        <v>23</v>
      </c>
      <c r="G114">
        <v>490.95</v>
      </c>
    </row>
    <row r="115" spans="1:7" x14ac:dyDescent="0.25">
      <c r="A115">
        <v>45</v>
      </c>
      <c r="B115">
        <v>14</v>
      </c>
      <c r="C115">
        <v>0</v>
      </c>
      <c r="D115">
        <v>25</v>
      </c>
      <c r="E115">
        <v>1997</v>
      </c>
      <c r="F115">
        <v>28</v>
      </c>
      <c r="G115">
        <v>490.85</v>
      </c>
    </row>
    <row r="116" spans="1:7" x14ac:dyDescent="0.25">
      <c r="A116">
        <v>24</v>
      </c>
      <c r="B116">
        <v>6</v>
      </c>
      <c r="C116">
        <v>1</v>
      </c>
      <c r="D116">
        <v>12</v>
      </c>
      <c r="E116">
        <v>1993</v>
      </c>
      <c r="F116">
        <v>32</v>
      </c>
      <c r="G116">
        <v>498.7</v>
      </c>
    </row>
    <row r="117" spans="1:7" x14ac:dyDescent="0.25">
      <c r="A117">
        <v>26</v>
      </c>
      <c r="B117">
        <v>7</v>
      </c>
      <c r="C117">
        <v>4</v>
      </c>
      <c r="D117">
        <v>13</v>
      </c>
      <c r="E117">
        <v>2020</v>
      </c>
      <c r="F117">
        <v>5</v>
      </c>
      <c r="G117">
        <v>499.85</v>
      </c>
    </row>
    <row r="118" spans="1:7" x14ac:dyDescent="0.25">
      <c r="A118">
        <v>25</v>
      </c>
      <c r="B118">
        <v>4</v>
      </c>
      <c r="C118">
        <v>1</v>
      </c>
      <c r="D118">
        <v>11</v>
      </c>
      <c r="E118">
        <v>2017</v>
      </c>
      <c r="F118">
        <v>8</v>
      </c>
      <c r="G118">
        <v>496.65</v>
      </c>
    </row>
    <row r="119" spans="1:7" x14ac:dyDescent="0.25">
      <c r="A119">
        <v>29</v>
      </c>
      <c r="B119">
        <v>11</v>
      </c>
      <c r="C119">
        <v>3</v>
      </c>
      <c r="D119">
        <v>16</v>
      </c>
      <c r="E119">
        <v>2000</v>
      </c>
      <c r="F119">
        <v>25</v>
      </c>
      <c r="G119">
        <v>498.7</v>
      </c>
    </row>
    <row r="120" spans="1:7" x14ac:dyDescent="0.25">
      <c r="A120">
        <v>51</v>
      </c>
      <c r="B120">
        <v>3</v>
      </c>
      <c r="C120">
        <v>3</v>
      </c>
      <c r="D120">
        <v>21</v>
      </c>
      <c r="E120">
        <v>1990</v>
      </c>
      <c r="F120">
        <v>35</v>
      </c>
      <c r="G120">
        <v>497.95</v>
      </c>
    </row>
    <row r="121" spans="1:7" x14ac:dyDescent="0.25">
      <c r="A121">
        <v>50</v>
      </c>
      <c r="B121">
        <v>11</v>
      </c>
      <c r="C121">
        <v>3</v>
      </c>
      <c r="D121">
        <v>21</v>
      </c>
      <c r="E121">
        <v>2013</v>
      </c>
      <c r="F121">
        <v>12</v>
      </c>
      <c r="G121">
        <v>493.45</v>
      </c>
    </row>
    <row r="122" spans="1:7" x14ac:dyDescent="0.25">
      <c r="A122">
        <v>65</v>
      </c>
      <c r="B122">
        <v>1</v>
      </c>
      <c r="C122">
        <v>5</v>
      </c>
      <c r="D122">
        <v>17</v>
      </c>
      <c r="E122">
        <v>2020</v>
      </c>
      <c r="F122">
        <v>5</v>
      </c>
      <c r="G122">
        <v>495.55</v>
      </c>
    </row>
    <row r="123" spans="1:7" x14ac:dyDescent="0.25">
      <c r="A123">
        <v>40</v>
      </c>
      <c r="B123">
        <v>22</v>
      </c>
      <c r="C123">
        <v>5</v>
      </c>
      <c r="D123">
        <v>21</v>
      </c>
      <c r="E123">
        <v>2015</v>
      </c>
      <c r="F123">
        <v>10</v>
      </c>
      <c r="G123">
        <v>494.95</v>
      </c>
    </row>
    <row r="124" spans="1:7" x14ac:dyDescent="0.25">
      <c r="A124">
        <v>41</v>
      </c>
      <c r="B124">
        <v>23</v>
      </c>
      <c r="C124">
        <v>0</v>
      </c>
      <c r="D124">
        <v>21</v>
      </c>
      <c r="E124">
        <v>1994</v>
      </c>
      <c r="F124">
        <v>31</v>
      </c>
      <c r="G124">
        <v>489.05</v>
      </c>
    </row>
    <row r="125" spans="1:7" x14ac:dyDescent="0.25">
      <c r="A125">
        <v>54</v>
      </c>
      <c r="B125">
        <v>35</v>
      </c>
      <c r="C125">
        <v>3</v>
      </c>
      <c r="D125">
        <v>12</v>
      </c>
      <c r="E125">
        <v>2009</v>
      </c>
      <c r="F125">
        <v>16</v>
      </c>
      <c r="G125">
        <v>485.4</v>
      </c>
    </row>
    <row r="126" spans="1:7" x14ac:dyDescent="0.25">
      <c r="A126">
        <v>52</v>
      </c>
      <c r="B126">
        <v>34</v>
      </c>
      <c r="C126">
        <v>4</v>
      </c>
      <c r="D126">
        <v>18</v>
      </c>
      <c r="E126">
        <v>2000</v>
      </c>
      <c r="F126">
        <v>25</v>
      </c>
      <c r="G126">
        <v>488.8</v>
      </c>
    </row>
    <row r="127" spans="1:7" x14ac:dyDescent="0.25">
      <c r="A127">
        <v>61</v>
      </c>
      <c r="B127">
        <v>25</v>
      </c>
      <c r="C127">
        <v>1</v>
      </c>
      <c r="D127">
        <v>24</v>
      </c>
      <c r="E127">
        <v>2022</v>
      </c>
      <c r="F127">
        <v>3</v>
      </c>
      <c r="G127">
        <v>483.3</v>
      </c>
    </row>
    <row r="128" spans="1:7" x14ac:dyDescent="0.25">
      <c r="A128">
        <v>57</v>
      </c>
      <c r="B128">
        <v>26</v>
      </c>
      <c r="C128">
        <v>2</v>
      </c>
      <c r="D128">
        <v>16</v>
      </c>
      <c r="E128">
        <v>2016</v>
      </c>
      <c r="F128">
        <v>9</v>
      </c>
      <c r="G128">
        <v>485.5</v>
      </c>
    </row>
    <row r="129" spans="1:7" x14ac:dyDescent="0.25">
      <c r="A129">
        <v>39</v>
      </c>
      <c r="B129">
        <v>4</v>
      </c>
      <c r="C129">
        <v>4</v>
      </c>
      <c r="D129">
        <v>24</v>
      </c>
      <c r="E129">
        <v>2023</v>
      </c>
      <c r="F129">
        <v>2</v>
      </c>
      <c r="G129">
        <v>498.4</v>
      </c>
    </row>
    <row r="130" spans="1:7" x14ac:dyDescent="0.25">
      <c r="A130">
        <v>44</v>
      </c>
      <c r="B130">
        <v>19</v>
      </c>
      <c r="C130">
        <v>5</v>
      </c>
      <c r="D130">
        <v>14</v>
      </c>
      <c r="E130">
        <v>2004</v>
      </c>
      <c r="F130">
        <v>21</v>
      </c>
      <c r="G130">
        <v>495.8</v>
      </c>
    </row>
    <row r="131" spans="1:7" x14ac:dyDescent="0.25">
      <c r="A131">
        <v>52</v>
      </c>
      <c r="B131">
        <v>10</v>
      </c>
      <c r="C131">
        <v>5</v>
      </c>
      <c r="D131">
        <v>15</v>
      </c>
      <c r="E131">
        <v>2021</v>
      </c>
      <c r="F131">
        <v>4</v>
      </c>
      <c r="G131">
        <v>495.25</v>
      </c>
    </row>
    <row r="132" spans="1:7" x14ac:dyDescent="0.25">
      <c r="A132">
        <v>18</v>
      </c>
      <c r="B132">
        <v>0</v>
      </c>
      <c r="C132">
        <v>4</v>
      </c>
      <c r="D132">
        <v>18</v>
      </c>
      <c r="E132">
        <v>2010</v>
      </c>
      <c r="F132">
        <v>15</v>
      </c>
      <c r="G132">
        <v>504.8</v>
      </c>
    </row>
    <row r="133" spans="1:7" x14ac:dyDescent="0.25">
      <c r="A133">
        <v>52</v>
      </c>
      <c r="B133">
        <v>34</v>
      </c>
      <c r="C133">
        <v>5</v>
      </c>
      <c r="D133">
        <v>24</v>
      </c>
      <c r="E133">
        <v>1994</v>
      </c>
      <c r="F133">
        <v>31</v>
      </c>
      <c r="G133">
        <v>491.2</v>
      </c>
    </row>
    <row r="134" spans="1:7" x14ac:dyDescent="0.25">
      <c r="A134">
        <v>54</v>
      </c>
      <c r="B134">
        <v>36</v>
      </c>
      <c r="C134">
        <v>3</v>
      </c>
      <c r="D134">
        <v>13</v>
      </c>
      <c r="E134">
        <v>1995</v>
      </c>
      <c r="F134">
        <v>30</v>
      </c>
      <c r="G134">
        <v>486.55</v>
      </c>
    </row>
    <row r="135" spans="1:7" x14ac:dyDescent="0.25">
      <c r="A135">
        <v>64</v>
      </c>
      <c r="B135">
        <v>5</v>
      </c>
      <c r="C135">
        <v>0</v>
      </c>
      <c r="D135">
        <v>13</v>
      </c>
      <c r="E135">
        <v>2011</v>
      </c>
      <c r="F135">
        <v>14</v>
      </c>
      <c r="G135">
        <v>487.75</v>
      </c>
    </row>
    <row r="136" spans="1:7" x14ac:dyDescent="0.25">
      <c r="A136">
        <v>31</v>
      </c>
      <c r="B136">
        <v>7</v>
      </c>
      <c r="C136">
        <v>1</v>
      </c>
      <c r="D136">
        <v>24</v>
      </c>
      <c r="E136">
        <v>2007</v>
      </c>
      <c r="F136">
        <v>18</v>
      </c>
      <c r="G136">
        <v>496.2</v>
      </c>
    </row>
    <row r="137" spans="1:7" x14ac:dyDescent="0.25">
      <c r="A137">
        <v>20</v>
      </c>
      <c r="B137">
        <v>2</v>
      </c>
      <c r="C137">
        <v>0</v>
      </c>
      <c r="D137">
        <v>25</v>
      </c>
      <c r="E137">
        <v>2003</v>
      </c>
      <c r="F137">
        <v>22</v>
      </c>
      <c r="G137">
        <v>498.85</v>
      </c>
    </row>
    <row r="138" spans="1:7" x14ac:dyDescent="0.25">
      <c r="A138">
        <v>18</v>
      </c>
      <c r="B138">
        <v>0</v>
      </c>
      <c r="C138">
        <v>1</v>
      </c>
      <c r="D138">
        <v>24</v>
      </c>
      <c r="E138">
        <v>1999</v>
      </c>
      <c r="F138">
        <v>26</v>
      </c>
      <c r="G138">
        <v>501.7</v>
      </c>
    </row>
    <row r="139" spans="1:7" x14ac:dyDescent="0.25">
      <c r="A139">
        <v>22</v>
      </c>
      <c r="B139">
        <v>4</v>
      </c>
      <c r="C139">
        <v>1</v>
      </c>
      <c r="D139">
        <v>21</v>
      </c>
      <c r="E139">
        <v>2002</v>
      </c>
      <c r="F139">
        <v>23</v>
      </c>
      <c r="G139">
        <v>499.25</v>
      </c>
    </row>
    <row r="140" spans="1:7" x14ac:dyDescent="0.25">
      <c r="A140">
        <v>43</v>
      </c>
      <c r="B140">
        <v>25</v>
      </c>
      <c r="C140">
        <v>0</v>
      </c>
      <c r="D140">
        <v>14</v>
      </c>
      <c r="E140">
        <v>2020</v>
      </c>
      <c r="F140">
        <v>5</v>
      </c>
      <c r="G140">
        <v>485.1</v>
      </c>
    </row>
    <row r="141" spans="1:7" x14ac:dyDescent="0.25">
      <c r="A141">
        <v>31</v>
      </c>
      <c r="B141">
        <v>12</v>
      </c>
      <c r="C141">
        <v>4</v>
      </c>
      <c r="D141">
        <v>11</v>
      </c>
      <c r="E141">
        <v>2019</v>
      </c>
      <c r="F141">
        <v>6</v>
      </c>
      <c r="G141">
        <v>497.35</v>
      </c>
    </row>
    <row r="142" spans="1:7" x14ac:dyDescent="0.25">
      <c r="A142">
        <v>56</v>
      </c>
      <c r="B142">
        <v>38</v>
      </c>
      <c r="C142">
        <v>1</v>
      </c>
      <c r="D142">
        <v>19</v>
      </c>
      <c r="E142">
        <v>1992</v>
      </c>
      <c r="F142">
        <v>33</v>
      </c>
      <c r="G142">
        <v>483.15</v>
      </c>
    </row>
    <row r="143" spans="1:7" x14ac:dyDescent="0.25">
      <c r="A143">
        <v>44</v>
      </c>
      <c r="B143">
        <v>17</v>
      </c>
      <c r="C143">
        <v>0</v>
      </c>
      <c r="D143">
        <v>18</v>
      </c>
      <c r="E143">
        <v>2019</v>
      </c>
      <c r="F143">
        <v>6</v>
      </c>
      <c r="G143">
        <v>487.6</v>
      </c>
    </row>
    <row r="144" spans="1:7" x14ac:dyDescent="0.25">
      <c r="A144">
        <v>26</v>
      </c>
      <c r="B144">
        <v>8</v>
      </c>
      <c r="C144">
        <v>1</v>
      </c>
      <c r="D144">
        <v>18</v>
      </c>
      <c r="E144">
        <v>1995</v>
      </c>
      <c r="F144">
        <v>30</v>
      </c>
      <c r="G144">
        <v>497.8</v>
      </c>
    </row>
    <row r="145" spans="1:7" x14ac:dyDescent="0.25">
      <c r="A145">
        <v>32</v>
      </c>
      <c r="B145">
        <v>14</v>
      </c>
      <c r="C145">
        <v>2</v>
      </c>
      <c r="D145">
        <v>24</v>
      </c>
      <c r="E145">
        <v>2018</v>
      </c>
      <c r="F145">
        <v>7</v>
      </c>
      <c r="G145">
        <v>494.3</v>
      </c>
    </row>
    <row r="146" spans="1:7" x14ac:dyDescent="0.25">
      <c r="A146">
        <v>32</v>
      </c>
      <c r="B146">
        <v>14</v>
      </c>
      <c r="C146">
        <v>4</v>
      </c>
      <c r="D146">
        <v>20</v>
      </c>
      <c r="E146">
        <v>1997</v>
      </c>
      <c r="F146">
        <v>28</v>
      </c>
      <c r="G146">
        <v>499.2</v>
      </c>
    </row>
    <row r="147" spans="1:7" x14ac:dyDescent="0.25">
      <c r="A147">
        <v>43</v>
      </c>
      <c r="B147">
        <v>11</v>
      </c>
      <c r="C147">
        <v>3</v>
      </c>
      <c r="D147">
        <v>16</v>
      </c>
      <c r="E147">
        <v>2022</v>
      </c>
      <c r="F147">
        <v>3</v>
      </c>
      <c r="G147">
        <v>493.7</v>
      </c>
    </row>
    <row r="148" spans="1:7" x14ac:dyDescent="0.25">
      <c r="A148">
        <v>59</v>
      </c>
      <c r="B148">
        <v>35</v>
      </c>
      <c r="C148">
        <v>1</v>
      </c>
      <c r="D148">
        <v>17</v>
      </c>
      <c r="E148">
        <v>2006</v>
      </c>
      <c r="F148">
        <v>19</v>
      </c>
      <c r="G148">
        <v>481.95</v>
      </c>
    </row>
    <row r="149" spans="1:7" x14ac:dyDescent="0.25">
      <c r="A149">
        <v>30</v>
      </c>
      <c r="B149">
        <v>3</v>
      </c>
      <c r="C149">
        <v>2</v>
      </c>
      <c r="D149">
        <v>16</v>
      </c>
      <c r="E149">
        <v>2000</v>
      </c>
      <c r="F149">
        <v>25</v>
      </c>
      <c r="G149">
        <v>499.4</v>
      </c>
    </row>
    <row r="150" spans="1:7" x14ac:dyDescent="0.25">
      <c r="A150">
        <v>49</v>
      </c>
      <c r="B150">
        <v>4</v>
      </c>
      <c r="C150">
        <v>3</v>
      </c>
      <c r="D150">
        <v>19</v>
      </c>
      <c r="E150">
        <v>2002</v>
      </c>
      <c r="F150">
        <v>23</v>
      </c>
      <c r="G150">
        <v>496.75</v>
      </c>
    </row>
    <row r="151" spans="1:7" x14ac:dyDescent="0.25">
      <c r="A151">
        <v>56</v>
      </c>
      <c r="B151">
        <v>36</v>
      </c>
      <c r="C151">
        <v>3</v>
      </c>
      <c r="D151">
        <v>13</v>
      </c>
      <c r="E151">
        <v>2000</v>
      </c>
      <c r="F151">
        <v>25</v>
      </c>
      <c r="G151">
        <v>485.65</v>
      </c>
    </row>
    <row r="152" spans="1:7" x14ac:dyDescent="0.25">
      <c r="A152">
        <v>49</v>
      </c>
      <c r="B152">
        <v>7</v>
      </c>
      <c r="C152">
        <v>1</v>
      </c>
      <c r="D152">
        <v>24</v>
      </c>
      <c r="E152">
        <v>2020</v>
      </c>
      <c r="F152">
        <v>5</v>
      </c>
      <c r="G152">
        <v>491.3</v>
      </c>
    </row>
    <row r="153" spans="1:7" x14ac:dyDescent="0.25">
      <c r="A153">
        <v>21</v>
      </c>
      <c r="B153">
        <v>3</v>
      </c>
      <c r="C153">
        <v>0</v>
      </c>
      <c r="D153">
        <v>13</v>
      </c>
      <c r="E153">
        <v>2017</v>
      </c>
      <c r="F153">
        <v>8</v>
      </c>
      <c r="G153">
        <v>496.35</v>
      </c>
    </row>
    <row r="154" spans="1:7" x14ac:dyDescent="0.25">
      <c r="A154">
        <v>47</v>
      </c>
      <c r="B154">
        <v>29</v>
      </c>
      <c r="C154">
        <v>1</v>
      </c>
      <c r="D154">
        <v>13</v>
      </c>
      <c r="E154">
        <v>1995</v>
      </c>
      <c r="F154">
        <v>30</v>
      </c>
      <c r="G154">
        <v>487.05</v>
      </c>
    </row>
    <row r="155" spans="1:7" x14ac:dyDescent="0.25">
      <c r="A155">
        <v>54</v>
      </c>
      <c r="B155">
        <v>8</v>
      </c>
      <c r="C155">
        <v>2</v>
      </c>
      <c r="D155">
        <v>20</v>
      </c>
      <c r="E155">
        <v>2005</v>
      </c>
      <c r="F155">
        <v>20</v>
      </c>
      <c r="G155">
        <v>492.8</v>
      </c>
    </row>
    <row r="156" spans="1:7" x14ac:dyDescent="0.25">
      <c r="A156">
        <v>40</v>
      </c>
      <c r="B156">
        <v>22</v>
      </c>
      <c r="C156">
        <v>3</v>
      </c>
      <c r="D156">
        <v>13</v>
      </c>
      <c r="E156">
        <v>1993</v>
      </c>
      <c r="F156">
        <v>32</v>
      </c>
      <c r="G156">
        <v>493.75</v>
      </c>
    </row>
    <row r="157" spans="1:7" x14ac:dyDescent="0.25">
      <c r="A157">
        <v>56</v>
      </c>
      <c r="B157">
        <v>13</v>
      </c>
      <c r="C157">
        <v>1</v>
      </c>
      <c r="D157">
        <v>19</v>
      </c>
      <c r="E157">
        <v>2024</v>
      </c>
      <c r="F157">
        <v>1</v>
      </c>
      <c r="G157">
        <v>487.45</v>
      </c>
    </row>
    <row r="158" spans="1:7" x14ac:dyDescent="0.25">
      <c r="A158">
        <v>62</v>
      </c>
      <c r="B158">
        <v>39</v>
      </c>
      <c r="C158">
        <v>0</v>
      </c>
      <c r="D158">
        <v>22</v>
      </c>
      <c r="E158">
        <v>2015</v>
      </c>
      <c r="F158">
        <v>10</v>
      </c>
      <c r="G158">
        <v>478</v>
      </c>
    </row>
    <row r="159" spans="1:7" x14ac:dyDescent="0.25">
      <c r="A159">
        <v>32</v>
      </c>
      <c r="B159">
        <v>14</v>
      </c>
      <c r="C159">
        <v>1</v>
      </c>
      <c r="D159">
        <v>14</v>
      </c>
      <c r="E159">
        <v>2001</v>
      </c>
      <c r="F159">
        <v>24</v>
      </c>
      <c r="G159">
        <v>494</v>
      </c>
    </row>
    <row r="160" spans="1:7" x14ac:dyDescent="0.25">
      <c r="A160">
        <v>60</v>
      </c>
      <c r="B160">
        <v>21</v>
      </c>
      <c r="C160">
        <v>4</v>
      </c>
      <c r="D160">
        <v>23</v>
      </c>
      <c r="E160">
        <v>2000</v>
      </c>
      <c r="F160">
        <v>25</v>
      </c>
      <c r="G160">
        <v>491.35</v>
      </c>
    </row>
    <row r="161" spans="1:7" x14ac:dyDescent="0.25">
      <c r="A161">
        <v>46</v>
      </c>
      <c r="B161">
        <v>10</v>
      </c>
      <c r="C161">
        <v>0</v>
      </c>
      <c r="D161">
        <v>17</v>
      </c>
      <c r="E161">
        <v>2014</v>
      </c>
      <c r="F161">
        <v>11</v>
      </c>
      <c r="G161">
        <v>489.75</v>
      </c>
    </row>
    <row r="162" spans="1:7" x14ac:dyDescent="0.25">
      <c r="A162">
        <v>53</v>
      </c>
      <c r="B162">
        <v>22</v>
      </c>
      <c r="C162">
        <v>2</v>
      </c>
      <c r="D162">
        <v>24</v>
      </c>
      <c r="E162">
        <v>2007</v>
      </c>
      <c r="F162">
        <v>18</v>
      </c>
      <c r="G162">
        <v>488.8</v>
      </c>
    </row>
    <row r="163" spans="1:7" x14ac:dyDescent="0.25">
      <c r="A163">
        <v>30</v>
      </c>
      <c r="B163">
        <v>0</v>
      </c>
      <c r="C163">
        <v>3</v>
      </c>
      <c r="D163">
        <v>25</v>
      </c>
      <c r="E163">
        <v>2008</v>
      </c>
      <c r="F163">
        <v>17</v>
      </c>
      <c r="G163">
        <v>501.45</v>
      </c>
    </row>
    <row r="164" spans="1:7" x14ac:dyDescent="0.25">
      <c r="A164">
        <v>49</v>
      </c>
      <c r="B164">
        <v>31</v>
      </c>
      <c r="C164">
        <v>1</v>
      </c>
      <c r="D164">
        <v>19</v>
      </c>
      <c r="E164">
        <v>2012</v>
      </c>
      <c r="F164">
        <v>13</v>
      </c>
      <c r="G164">
        <v>484.65</v>
      </c>
    </row>
    <row r="165" spans="1:7" x14ac:dyDescent="0.25">
      <c r="A165">
        <v>24</v>
      </c>
      <c r="B165">
        <v>6</v>
      </c>
      <c r="C165">
        <v>0</v>
      </c>
      <c r="D165">
        <v>21</v>
      </c>
      <c r="E165">
        <v>2007</v>
      </c>
      <c r="F165">
        <v>18</v>
      </c>
      <c r="G165">
        <v>496.25</v>
      </c>
    </row>
    <row r="166" spans="1:7" x14ac:dyDescent="0.25">
      <c r="A166">
        <v>39</v>
      </c>
      <c r="B166">
        <v>21</v>
      </c>
      <c r="C166">
        <v>4</v>
      </c>
      <c r="D166">
        <v>22</v>
      </c>
      <c r="E166">
        <v>2015</v>
      </c>
      <c r="F166">
        <v>10</v>
      </c>
      <c r="G166">
        <v>494</v>
      </c>
    </row>
    <row r="167" spans="1:7" x14ac:dyDescent="0.25">
      <c r="A167">
        <v>45</v>
      </c>
      <c r="B167">
        <v>27</v>
      </c>
      <c r="C167">
        <v>0</v>
      </c>
      <c r="D167">
        <v>17</v>
      </c>
      <c r="E167">
        <v>1995</v>
      </c>
      <c r="F167">
        <v>30</v>
      </c>
      <c r="G167">
        <v>486.75</v>
      </c>
    </row>
    <row r="168" spans="1:7" x14ac:dyDescent="0.25">
      <c r="A168">
        <v>19</v>
      </c>
      <c r="B168">
        <v>1</v>
      </c>
      <c r="C168">
        <v>5</v>
      </c>
      <c r="D168">
        <v>19</v>
      </c>
      <c r="E168">
        <v>1993</v>
      </c>
      <c r="F168">
        <v>32</v>
      </c>
      <c r="G168">
        <v>507.55</v>
      </c>
    </row>
    <row r="169" spans="1:7" x14ac:dyDescent="0.25">
      <c r="A169">
        <v>59</v>
      </c>
      <c r="B169">
        <v>0</v>
      </c>
      <c r="C169">
        <v>4</v>
      </c>
      <c r="D169">
        <v>22</v>
      </c>
      <c r="E169">
        <v>2018</v>
      </c>
      <c r="F169">
        <v>7</v>
      </c>
      <c r="G169">
        <v>496</v>
      </c>
    </row>
    <row r="170" spans="1:7" x14ac:dyDescent="0.25">
      <c r="A170">
        <v>62</v>
      </c>
      <c r="B170">
        <v>39</v>
      </c>
      <c r="C170">
        <v>2</v>
      </c>
      <c r="D170">
        <v>13</v>
      </c>
      <c r="E170">
        <v>2023</v>
      </c>
      <c r="F170">
        <v>2</v>
      </c>
      <c r="G170">
        <v>479.75</v>
      </c>
    </row>
    <row r="171" spans="1:7" x14ac:dyDescent="0.25">
      <c r="A171">
        <v>23</v>
      </c>
      <c r="B171">
        <v>5</v>
      </c>
      <c r="C171">
        <v>3</v>
      </c>
      <c r="D171">
        <v>25</v>
      </c>
      <c r="E171">
        <v>2006</v>
      </c>
      <c r="F171">
        <v>19</v>
      </c>
      <c r="G171">
        <v>501.55</v>
      </c>
    </row>
    <row r="172" spans="1:7" x14ac:dyDescent="0.25">
      <c r="A172">
        <v>45</v>
      </c>
      <c r="B172">
        <v>20</v>
      </c>
      <c r="C172">
        <v>2</v>
      </c>
      <c r="D172">
        <v>14</v>
      </c>
      <c r="E172">
        <v>2005</v>
      </c>
      <c r="F172">
        <v>20</v>
      </c>
      <c r="G172">
        <v>490.7</v>
      </c>
    </row>
    <row r="173" spans="1:7" x14ac:dyDescent="0.25">
      <c r="A173">
        <v>45</v>
      </c>
      <c r="B173">
        <v>8</v>
      </c>
      <c r="C173">
        <v>1</v>
      </c>
      <c r="D173">
        <v>24</v>
      </c>
      <c r="E173">
        <v>1991</v>
      </c>
      <c r="F173">
        <v>34</v>
      </c>
      <c r="G173">
        <v>494.7</v>
      </c>
    </row>
    <row r="174" spans="1:7" x14ac:dyDescent="0.25">
      <c r="A174">
        <v>61</v>
      </c>
      <c r="B174">
        <v>8</v>
      </c>
      <c r="C174">
        <v>0</v>
      </c>
      <c r="D174">
        <v>18</v>
      </c>
      <c r="E174">
        <v>2023</v>
      </c>
      <c r="F174">
        <v>2</v>
      </c>
      <c r="G174">
        <v>486.5</v>
      </c>
    </row>
    <row r="175" spans="1:7" x14ac:dyDescent="0.25">
      <c r="A175">
        <v>61</v>
      </c>
      <c r="B175">
        <v>9</v>
      </c>
      <c r="C175">
        <v>5</v>
      </c>
      <c r="D175">
        <v>16</v>
      </c>
      <c r="E175">
        <v>1997</v>
      </c>
      <c r="F175">
        <v>28</v>
      </c>
      <c r="G175">
        <v>496.2</v>
      </c>
    </row>
    <row r="176" spans="1:7" x14ac:dyDescent="0.25">
      <c r="A176">
        <v>37</v>
      </c>
      <c r="B176">
        <v>19</v>
      </c>
      <c r="C176">
        <v>4</v>
      </c>
      <c r="D176">
        <v>15</v>
      </c>
      <c r="E176">
        <v>2002</v>
      </c>
      <c r="F176">
        <v>23</v>
      </c>
      <c r="G176">
        <v>495.95</v>
      </c>
    </row>
    <row r="177" spans="1:7" x14ac:dyDescent="0.25">
      <c r="A177">
        <v>47</v>
      </c>
      <c r="B177">
        <v>29</v>
      </c>
      <c r="C177">
        <v>4</v>
      </c>
      <c r="D177">
        <v>23</v>
      </c>
      <c r="E177">
        <v>1997</v>
      </c>
      <c r="F177">
        <v>28</v>
      </c>
      <c r="G177">
        <v>491.85</v>
      </c>
    </row>
    <row r="178" spans="1:7" x14ac:dyDescent="0.25">
      <c r="A178">
        <v>28</v>
      </c>
      <c r="B178">
        <v>10</v>
      </c>
      <c r="C178">
        <v>0</v>
      </c>
      <c r="D178">
        <v>14</v>
      </c>
      <c r="E178">
        <v>2019</v>
      </c>
      <c r="F178">
        <v>6</v>
      </c>
      <c r="G178">
        <v>492.7</v>
      </c>
    </row>
    <row r="179" spans="1:7" x14ac:dyDescent="0.25">
      <c r="A179">
        <v>45</v>
      </c>
      <c r="B179">
        <v>24</v>
      </c>
      <c r="C179">
        <v>5</v>
      </c>
      <c r="D179">
        <v>18</v>
      </c>
      <c r="E179">
        <v>2021</v>
      </c>
      <c r="F179">
        <v>4</v>
      </c>
      <c r="G179">
        <v>492.6</v>
      </c>
    </row>
    <row r="180" spans="1:7" x14ac:dyDescent="0.25">
      <c r="A180">
        <v>42</v>
      </c>
      <c r="B180">
        <v>24</v>
      </c>
      <c r="C180">
        <v>0</v>
      </c>
      <c r="D180">
        <v>11</v>
      </c>
      <c r="E180">
        <v>2025</v>
      </c>
      <c r="F180">
        <v>0</v>
      </c>
      <c r="G180">
        <v>484.95</v>
      </c>
    </row>
    <row r="181" spans="1:7" x14ac:dyDescent="0.25">
      <c r="A181">
        <v>56</v>
      </c>
      <c r="B181">
        <v>10</v>
      </c>
      <c r="C181">
        <v>1</v>
      </c>
      <c r="D181">
        <v>24</v>
      </c>
      <c r="E181">
        <v>2019</v>
      </c>
      <c r="F181">
        <v>6</v>
      </c>
      <c r="G181">
        <v>489.1</v>
      </c>
    </row>
    <row r="182" spans="1:7" x14ac:dyDescent="0.25">
      <c r="A182">
        <v>50</v>
      </c>
      <c r="B182">
        <v>32</v>
      </c>
      <c r="C182">
        <v>2</v>
      </c>
      <c r="D182">
        <v>19</v>
      </c>
      <c r="E182">
        <v>1990</v>
      </c>
      <c r="F182">
        <v>35</v>
      </c>
      <c r="G182">
        <v>487.85</v>
      </c>
    </row>
    <row r="183" spans="1:7" x14ac:dyDescent="0.25">
      <c r="A183">
        <v>18</v>
      </c>
      <c r="B183">
        <v>0</v>
      </c>
      <c r="C183">
        <v>4</v>
      </c>
      <c r="D183">
        <v>11</v>
      </c>
      <c r="E183">
        <v>2006</v>
      </c>
      <c r="F183">
        <v>19</v>
      </c>
      <c r="G183">
        <v>504.85</v>
      </c>
    </row>
    <row r="184" spans="1:7" x14ac:dyDescent="0.25">
      <c r="A184">
        <v>44</v>
      </c>
      <c r="B184">
        <v>6</v>
      </c>
      <c r="C184">
        <v>1</v>
      </c>
      <c r="D184">
        <v>18</v>
      </c>
      <c r="E184">
        <v>2009</v>
      </c>
      <c r="F184">
        <v>16</v>
      </c>
      <c r="G184">
        <v>493.4</v>
      </c>
    </row>
    <row r="185" spans="1:7" x14ac:dyDescent="0.25">
      <c r="A185">
        <v>30</v>
      </c>
      <c r="B185">
        <v>12</v>
      </c>
      <c r="C185">
        <v>2</v>
      </c>
      <c r="D185">
        <v>14</v>
      </c>
      <c r="E185">
        <v>2013</v>
      </c>
      <c r="F185">
        <v>12</v>
      </c>
      <c r="G185">
        <v>495.3</v>
      </c>
    </row>
    <row r="186" spans="1:7" x14ac:dyDescent="0.25">
      <c r="A186">
        <v>58</v>
      </c>
      <c r="B186">
        <v>26</v>
      </c>
      <c r="C186">
        <v>1</v>
      </c>
      <c r="D186">
        <v>19</v>
      </c>
      <c r="E186">
        <v>2011</v>
      </c>
      <c r="F186">
        <v>14</v>
      </c>
      <c r="G186">
        <v>484.45</v>
      </c>
    </row>
    <row r="187" spans="1:7" x14ac:dyDescent="0.25">
      <c r="A187">
        <v>20</v>
      </c>
      <c r="B187">
        <v>2</v>
      </c>
      <c r="C187">
        <v>5</v>
      </c>
      <c r="D187">
        <v>24</v>
      </c>
      <c r="E187">
        <v>2018</v>
      </c>
      <c r="F187">
        <v>7</v>
      </c>
      <c r="G187">
        <v>504.8</v>
      </c>
    </row>
    <row r="188" spans="1:7" x14ac:dyDescent="0.25">
      <c r="A188">
        <v>56</v>
      </c>
      <c r="B188">
        <v>26</v>
      </c>
      <c r="C188">
        <v>4</v>
      </c>
      <c r="D188">
        <v>21</v>
      </c>
      <c r="E188">
        <v>2011</v>
      </c>
      <c r="F188">
        <v>14</v>
      </c>
      <c r="G188">
        <v>489.45</v>
      </c>
    </row>
    <row r="189" spans="1:7" x14ac:dyDescent="0.25">
      <c r="A189">
        <v>23</v>
      </c>
      <c r="B189">
        <v>5</v>
      </c>
      <c r="C189">
        <v>0</v>
      </c>
      <c r="D189">
        <v>15</v>
      </c>
      <c r="E189">
        <v>1998</v>
      </c>
      <c r="F189">
        <v>27</v>
      </c>
      <c r="G189">
        <v>497.35</v>
      </c>
    </row>
    <row r="190" spans="1:7" x14ac:dyDescent="0.25">
      <c r="A190">
        <v>25</v>
      </c>
      <c r="B190">
        <v>7</v>
      </c>
      <c r="C190">
        <v>0</v>
      </c>
      <c r="D190">
        <v>13</v>
      </c>
      <c r="E190">
        <v>1999</v>
      </c>
      <c r="F190">
        <v>26</v>
      </c>
      <c r="G190">
        <v>496.15</v>
      </c>
    </row>
    <row r="191" spans="1:7" x14ac:dyDescent="0.25">
      <c r="A191">
        <v>44</v>
      </c>
      <c r="B191">
        <v>24</v>
      </c>
      <c r="C191">
        <v>2</v>
      </c>
      <c r="D191">
        <v>19</v>
      </c>
      <c r="E191">
        <v>2025</v>
      </c>
      <c r="F191">
        <v>0</v>
      </c>
      <c r="G191">
        <v>487.95</v>
      </c>
    </row>
    <row r="192" spans="1:7" x14ac:dyDescent="0.25">
      <c r="A192">
        <v>26</v>
      </c>
      <c r="B192">
        <v>6</v>
      </c>
      <c r="C192">
        <v>3</v>
      </c>
      <c r="D192">
        <v>21</v>
      </c>
      <c r="E192">
        <v>2017</v>
      </c>
      <c r="F192">
        <v>8</v>
      </c>
      <c r="G192">
        <v>499.35</v>
      </c>
    </row>
    <row r="193" spans="1:7" x14ac:dyDescent="0.25">
      <c r="A193">
        <v>54</v>
      </c>
      <c r="B193">
        <v>5</v>
      </c>
      <c r="C193">
        <v>5</v>
      </c>
      <c r="D193">
        <v>24</v>
      </c>
      <c r="E193">
        <v>2017</v>
      </c>
      <c r="F193">
        <v>8</v>
      </c>
      <c r="G193">
        <v>497.2</v>
      </c>
    </row>
    <row r="194" spans="1:7" x14ac:dyDescent="0.25">
      <c r="A194">
        <v>50</v>
      </c>
      <c r="B194">
        <v>23</v>
      </c>
      <c r="C194">
        <v>2</v>
      </c>
      <c r="D194">
        <v>24</v>
      </c>
      <c r="E194">
        <v>2010</v>
      </c>
      <c r="F194">
        <v>15</v>
      </c>
      <c r="G194">
        <v>488.8</v>
      </c>
    </row>
    <row r="195" spans="1:7" x14ac:dyDescent="0.25">
      <c r="A195">
        <v>59</v>
      </c>
      <c r="B195">
        <v>32</v>
      </c>
      <c r="C195">
        <v>3</v>
      </c>
      <c r="D195">
        <v>19</v>
      </c>
      <c r="E195">
        <v>2013</v>
      </c>
      <c r="F195">
        <v>12</v>
      </c>
      <c r="G195">
        <v>485.25</v>
      </c>
    </row>
    <row r="196" spans="1:7" x14ac:dyDescent="0.25">
      <c r="A196">
        <v>61</v>
      </c>
      <c r="B196">
        <v>28</v>
      </c>
      <c r="C196">
        <v>1</v>
      </c>
      <c r="D196">
        <v>14</v>
      </c>
      <c r="E196">
        <v>1991</v>
      </c>
      <c r="F196">
        <v>34</v>
      </c>
      <c r="G196">
        <v>485</v>
      </c>
    </row>
    <row r="197" spans="1:7" x14ac:dyDescent="0.25">
      <c r="A197">
        <v>41</v>
      </c>
      <c r="B197">
        <v>21</v>
      </c>
      <c r="C197">
        <v>5</v>
      </c>
      <c r="D197">
        <v>21</v>
      </c>
      <c r="E197">
        <v>1997</v>
      </c>
      <c r="F197">
        <v>28</v>
      </c>
      <c r="G197">
        <v>496.85</v>
      </c>
    </row>
    <row r="198" spans="1:7" x14ac:dyDescent="0.25">
      <c r="A198">
        <v>32</v>
      </c>
      <c r="B198">
        <v>14</v>
      </c>
      <c r="C198">
        <v>1</v>
      </c>
      <c r="D198">
        <v>14</v>
      </c>
      <c r="E198">
        <v>2016</v>
      </c>
      <c r="F198">
        <v>9</v>
      </c>
      <c r="G198">
        <v>492.5</v>
      </c>
    </row>
    <row r="199" spans="1:7" x14ac:dyDescent="0.25">
      <c r="A199">
        <v>49</v>
      </c>
      <c r="B199">
        <v>27</v>
      </c>
      <c r="C199">
        <v>4</v>
      </c>
      <c r="D199">
        <v>22</v>
      </c>
      <c r="E199">
        <v>2011</v>
      </c>
      <c r="F199">
        <v>14</v>
      </c>
      <c r="G199">
        <v>490.6</v>
      </c>
    </row>
    <row r="200" spans="1:7" x14ac:dyDescent="0.25">
      <c r="A200">
        <v>49</v>
      </c>
      <c r="B200">
        <v>20</v>
      </c>
      <c r="C200">
        <v>5</v>
      </c>
      <c r="D200">
        <v>18</v>
      </c>
      <c r="E200">
        <v>2016</v>
      </c>
      <c r="F200">
        <v>9</v>
      </c>
      <c r="G200">
        <v>493.5</v>
      </c>
    </row>
    <row r="201" spans="1:7" x14ac:dyDescent="0.25">
      <c r="A201">
        <v>41</v>
      </c>
      <c r="B201">
        <v>6</v>
      </c>
      <c r="C201">
        <v>3</v>
      </c>
      <c r="D201">
        <v>12</v>
      </c>
      <c r="E201">
        <v>2018</v>
      </c>
      <c r="F201">
        <v>7</v>
      </c>
      <c r="G201">
        <v>495.8</v>
      </c>
    </row>
    <row r="202" spans="1:7" x14ac:dyDescent="0.25">
      <c r="A202">
        <v>58</v>
      </c>
      <c r="B202">
        <v>16</v>
      </c>
      <c r="C202">
        <v>4</v>
      </c>
      <c r="D202">
        <v>19</v>
      </c>
      <c r="E202">
        <v>1992</v>
      </c>
      <c r="F202">
        <v>33</v>
      </c>
      <c r="G202">
        <v>493.85</v>
      </c>
    </row>
    <row r="203" spans="1:7" x14ac:dyDescent="0.25">
      <c r="A203">
        <v>29</v>
      </c>
      <c r="B203">
        <v>11</v>
      </c>
      <c r="C203">
        <v>0</v>
      </c>
      <c r="D203">
        <v>23</v>
      </c>
      <c r="E203">
        <v>2002</v>
      </c>
      <c r="F203">
        <v>23</v>
      </c>
      <c r="G203">
        <v>494.35</v>
      </c>
    </row>
    <row r="204" spans="1:7" x14ac:dyDescent="0.25">
      <c r="A204">
        <v>56</v>
      </c>
      <c r="B204">
        <v>38</v>
      </c>
      <c r="C204">
        <v>3</v>
      </c>
      <c r="D204">
        <v>24</v>
      </c>
      <c r="E204">
        <v>1999</v>
      </c>
      <c r="F204">
        <v>26</v>
      </c>
      <c r="G204">
        <v>485.7</v>
      </c>
    </row>
    <row r="205" spans="1:7" x14ac:dyDescent="0.25">
      <c r="A205">
        <v>19</v>
      </c>
      <c r="B205">
        <v>1</v>
      </c>
      <c r="C205">
        <v>2</v>
      </c>
      <c r="D205">
        <v>16</v>
      </c>
      <c r="E205">
        <v>2025</v>
      </c>
      <c r="F205">
        <v>0</v>
      </c>
      <c r="G205">
        <v>499.7</v>
      </c>
    </row>
    <row r="206" spans="1:7" x14ac:dyDescent="0.25">
      <c r="A206">
        <v>20</v>
      </c>
      <c r="B206">
        <v>2</v>
      </c>
      <c r="C206">
        <v>0</v>
      </c>
      <c r="D206">
        <v>19</v>
      </c>
      <c r="E206">
        <v>1998</v>
      </c>
      <c r="F206">
        <v>27</v>
      </c>
      <c r="G206">
        <v>499.05</v>
      </c>
    </row>
    <row r="207" spans="1:7" x14ac:dyDescent="0.25">
      <c r="A207">
        <v>54</v>
      </c>
      <c r="B207">
        <v>27</v>
      </c>
      <c r="C207">
        <v>0</v>
      </c>
      <c r="D207">
        <v>18</v>
      </c>
      <c r="E207">
        <v>2016</v>
      </c>
      <c r="F207">
        <v>9</v>
      </c>
      <c r="G207">
        <v>482.9</v>
      </c>
    </row>
    <row r="208" spans="1:7" x14ac:dyDescent="0.25">
      <c r="A208">
        <v>34</v>
      </c>
      <c r="B208">
        <v>16</v>
      </c>
      <c r="C208">
        <v>2</v>
      </c>
      <c r="D208">
        <v>25</v>
      </c>
      <c r="E208">
        <v>2023</v>
      </c>
      <c r="F208">
        <v>2</v>
      </c>
      <c r="G208">
        <v>492.85</v>
      </c>
    </row>
    <row r="209" spans="1:7" x14ac:dyDescent="0.25">
      <c r="A209">
        <v>19</v>
      </c>
      <c r="B209">
        <v>1</v>
      </c>
      <c r="C209">
        <v>5</v>
      </c>
      <c r="D209">
        <v>25</v>
      </c>
      <c r="E209">
        <v>1990</v>
      </c>
      <c r="F209">
        <v>35</v>
      </c>
      <c r="G209">
        <v>508.15</v>
      </c>
    </row>
    <row r="210" spans="1:7" x14ac:dyDescent="0.25">
      <c r="A210">
        <v>19</v>
      </c>
      <c r="B210">
        <v>0</v>
      </c>
      <c r="C210">
        <v>0</v>
      </c>
      <c r="D210">
        <v>17</v>
      </c>
      <c r="E210">
        <v>2021</v>
      </c>
      <c r="F210">
        <v>4</v>
      </c>
      <c r="G210">
        <v>497.45</v>
      </c>
    </row>
    <row r="211" spans="1:7" x14ac:dyDescent="0.25">
      <c r="A211">
        <v>45</v>
      </c>
      <c r="B211">
        <v>27</v>
      </c>
      <c r="C211">
        <v>3</v>
      </c>
      <c r="D211">
        <v>23</v>
      </c>
      <c r="E211">
        <v>2014</v>
      </c>
      <c r="F211">
        <v>11</v>
      </c>
      <c r="G211">
        <v>489.65</v>
      </c>
    </row>
    <row r="212" spans="1:7" x14ac:dyDescent="0.25">
      <c r="A212">
        <v>40</v>
      </c>
      <c r="B212">
        <v>12</v>
      </c>
      <c r="C212">
        <v>4</v>
      </c>
      <c r="D212">
        <v>24</v>
      </c>
      <c r="E212">
        <v>2018</v>
      </c>
      <c r="F212">
        <v>7</v>
      </c>
      <c r="G212">
        <v>496.3</v>
      </c>
    </row>
    <row r="213" spans="1:7" x14ac:dyDescent="0.25">
      <c r="A213">
        <v>54</v>
      </c>
      <c r="B213">
        <v>29</v>
      </c>
      <c r="C213">
        <v>0</v>
      </c>
      <c r="D213">
        <v>11</v>
      </c>
      <c r="E213">
        <v>1996</v>
      </c>
      <c r="F213">
        <v>29</v>
      </c>
      <c r="G213">
        <v>483.95</v>
      </c>
    </row>
    <row r="214" spans="1:7" x14ac:dyDescent="0.25">
      <c r="A214">
        <v>49</v>
      </c>
      <c r="B214">
        <v>22</v>
      </c>
      <c r="C214">
        <v>3</v>
      </c>
      <c r="D214">
        <v>24</v>
      </c>
      <c r="E214">
        <v>1992</v>
      </c>
      <c r="F214">
        <v>33</v>
      </c>
      <c r="G214">
        <v>492.6</v>
      </c>
    </row>
    <row r="215" spans="1:7" x14ac:dyDescent="0.25">
      <c r="A215">
        <v>50</v>
      </c>
      <c r="B215">
        <v>18</v>
      </c>
      <c r="C215">
        <v>1</v>
      </c>
      <c r="D215">
        <v>22</v>
      </c>
      <c r="E215">
        <v>2009</v>
      </c>
      <c r="F215">
        <v>16</v>
      </c>
      <c r="G215">
        <v>488.8</v>
      </c>
    </row>
    <row r="216" spans="1:7" x14ac:dyDescent="0.25">
      <c r="A216">
        <v>18</v>
      </c>
      <c r="B216">
        <v>0</v>
      </c>
      <c r="C216">
        <v>3</v>
      </c>
      <c r="D216">
        <v>13</v>
      </c>
      <c r="E216">
        <v>2009</v>
      </c>
      <c r="F216">
        <v>16</v>
      </c>
      <c r="G216">
        <v>503.15</v>
      </c>
    </row>
    <row r="217" spans="1:7" x14ac:dyDescent="0.25">
      <c r="A217">
        <v>36</v>
      </c>
      <c r="B217">
        <v>18</v>
      </c>
      <c r="C217">
        <v>4</v>
      </c>
      <c r="D217">
        <v>21</v>
      </c>
      <c r="E217">
        <v>2019</v>
      </c>
      <c r="F217">
        <v>6</v>
      </c>
      <c r="G217">
        <v>495.05</v>
      </c>
    </row>
    <row r="218" spans="1:7" x14ac:dyDescent="0.25">
      <c r="A218">
        <v>19</v>
      </c>
      <c r="B218">
        <v>1</v>
      </c>
      <c r="C218">
        <v>3</v>
      </c>
      <c r="D218">
        <v>24</v>
      </c>
      <c r="E218">
        <v>2024</v>
      </c>
      <c r="F218">
        <v>1</v>
      </c>
      <c r="G218">
        <v>501.7</v>
      </c>
    </row>
    <row r="219" spans="1:7" x14ac:dyDescent="0.25">
      <c r="A219">
        <v>61</v>
      </c>
      <c r="B219">
        <v>28</v>
      </c>
      <c r="C219">
        <v>2</v>
      </c>
      <c r="D219">
        <v>12</v>
      </c>
      <c r="E219">
        <v>2024</v>
      </c>
      <c r="F219">
        <v>1</v>
      </c>
      <c r="G219">
        <v>483.1</v>
      </c>
    </row>
    <row r="220" spans="1:7" x14ac:dyDescent="0.25">
      <c r="A220">
        <v>43</v>
      </c>
      <c r="B220">
        <v>25</v>
      </c>
      <c r="C220">
        <v>4</v>
      </c>
      <c r="D220">
        <v>15</v>
      </c>
      <c r="E220">
        <v>2016</v>
      </c>
      <c r="F220">
        <v>9</v>
      </c>
      <c r="G220">
        <v>491.55</v>
      </c>
    </row>
    <row r="221" spans="1:7" x14ac:dyDescent="0.25">
      <c r="A221">
        <v>49</v>
      </c>
      <c r="B221">
        <v>15</v>
      </c>
      <c r="C221">
        <v>5</v>
      </c>
      <c r="D221">
        <v>25</v>
      </c>
      <c r="E221">
        <v>2015</v>
      </c>
      <c r="F221">
        <v>10</v>
      </c>
      <c r="G221">
        <v>495.45</v>
      </c>
    </row>
    <row r="222" spans="1:7" x14ac:dyDescent="0.25">
      <c r="A222">
        <v>23</v>
      </c>
      <c r="B222">
        <v>5</v>
      </c>
      <c r="C222">
        <v>1</v>
      </c>
      <c r="D222">
        <v>15</v>
      </c>
      <c r="E222">
        <v>2003</v>
      </c>
      <c r="F222">
        <v>22</v>
      </c>
      <c r="G222">
        <v>498.35</v>
      </c>
    </row>
    <row r="223" spans="1:7" x14ac:dyDescent="0.25">
      <c r="A223">
        <v>49</v>
      </c>
      <c r="B223">
        <v>18</v>
      </c>
      <c r="C223">
        <v>2</v>
      </c>
      <c r="D223">
        <v>15</v>
      </c>
      <c r="E223">
        <v>2006</v>
      </c>
      <c r="F223">
        <v>19</v>
      </c>
      <c r="G223">
        <v>490.45</v>
      </c>
    </row>
    <row r="224" spans="1:7" x14ac:dyDescent="0.25">
      <c r="A224">
        <v>21</v>
      </c>
      <c r="B224">
        <v>3</v>
      </c>
      <c r="C224">
        <v>5</v>
      </c>
      <c r="D224">
        <v>14</v>
      </c>
      <c r="E224">
        <v>2007</v>
      </c>
      <c r="F224">
        <v>18</v>
      </c>
      <c r="G224">
        <v>504.9</v>
      </c>
    </row>
    <row r="225" spans="1:7" x14ac:dyDescent="0.25">
      <c r="A225">
        <v>28</v>
      </c>
      <c r="B225">
        <v>0</v>
      </c>
      <c r="C225">
        <v>3</v>
      </c>
      <c r="D225">
        <v>15</v>
      </c>
      <c r="E225">
        <v>2018</v>
      </c>
      <c r="F225">
        <v>7</v>
      </c>
      <c r="G225">
        <v>500.35</v>
      </c>
    </row>
    <row r="226" spans="1:7" x14ac:dyDescent="0.25">
      <c r="A226">
        <v>34</v>
      </c>
      <c r="B226">
        <v>13</v>
      </c>
      <c r="C226">
        <v>4</v>
      </c>
      <c r="D226">
        <v>13</v>
      </c>
      <c r="E226">
        <v>2009</v>
      </c>
      <c r="F226">
        <v>16</v>
      </c>
      <c r="G226">
        <v>497.55</v>
      </c>
    </row>
    <row r="227" spans="1:7" x14ac:dyDescent="0.25">
      <c r="A227">
        <v>55</v>
      </c>
      <c r="B227">
        <v>1</v>
      </c>
      <c r="C227">
        <v>1</v>
      </c>
      <c r="D227">
        <v>22</v>
      </c>
      <c r="E227">
        <v>2016</v>
      </c>
      <c r="F227">
        <v>9</v>
      </c>
      <c r="G227">
        <v>492.2</v>
      </c>
    </row>
    <row r="228" spans="1:7" x14ac:dyDescent="0.25">
      <c r="A228">
        <v>41</v>
      </c>
      <c r="B228">
        <v>23</v>
      </c>
      <c r="C228">
        <v>2</v>
      </c>
      <c r="D228">
        <v>11</v>
      </c>
      <c r="E228">
        <v>2007</v>
      </c>
      <c r="F228">
        <v>18</v>
      </c>
      <c r="G228">
        <v>490.25</v>
      </c>
    </row>
    <row r="229" spans="1:7" x14ac:dyDescent="0.25">
      <c r="A229">
        <v>22</v>
      </c>
      <c r="B229">
        <v>4</v>
      </c>
      <c r="C229">
        <v>5</v>
      </c>
      <c r="D229">
        <v>15</v>
      </c>
      <c r="E229">
        <v>1993</v>
      </c>
      <c r="F229">
        <v>32</v>
      </c>
      <c r="G229">
        <v>505.85</v>
      </c>
    </row>
    <row r="230" spans="1:7" x14ac:dyDescent="0.25">
      <c r="A230">
        <v>51</v>
      </c>
      <c r="B230">
        <v>33</v>
      </c>
      <c r="C230">
        <v>5</v>
      </c>
      <c r="D230">
        <v>23</v>
      </c>
      <c r="E230">
        <v>1990</v>
      </c>
      <c r="F230">
        <v>35</v>
      </c>
      <c r="G230">
        <v>492.05</v>
      </c>
    </row>
    <row r="231" spans="1:7" x14ac:dyDescent="0.25">
      <c r="A231">
        <v>23</v>
      </c>
      <c r="B231">
        <v>3</v>
      </c>
      <c r="C231">
        <v>1</v>
      </c>
      <c r="D231">
        <v>19</v>
      </c>
      <c r="E231">
        <v>1990</v>
      </c>
      <c r="F231">
        <v>35</v>
      </c>
      <c r="G231">
        <v>500.45</v>
      </c>
    </row>
    <row r="232" spans="1:7" x14ac:dyDescent="0.25">
      <c r="A232">
        <v>39</v>
      </c>
      <c r="B232">
        <v>0</v>
      </c>
      <c r="C232">
        <v>3</v>
      </c>
      <c r="D232">
        <v>23</v>
      </c>
      <c r="E232">
        <v>2015</v>
      </c>
      <c r="F232">
        <v>10</v>
      </c>
      <c r="G232">
        <v>498.85</v>
      </c>
    </row>
    <row r="233" spans="1:7" x14ac:dyDescent="0.25">
      <c r="A233">
        <v>28</v>
      </c>
      <c r="B233">
        <v>7</v>
      </c>
      <c r="C233">
        <v>1</v>
      </c>
      <c r="D233">
        <v>19</v>
      </c>
      <c r="E233">
        <v>2009</v>
      </c>
      <c r="F233">
        <v>16</v>
      </c>
      <c r="G233">
        <v>496.35</v>
      </c>
    </row>
    <row r="234" spans="1:7" x14ac:dyDescent="0.25">
      <c r="A234">
        <v>65</v>
      </c>
      <c r="B234">
        <v>28</v>
      </c>
      <c r="C234">
        <v>5</v>
      </c>
      <c r="D234">
        <v>14</v>
      </c>
      <c r="E234">
        <v>2012</v>
      </c>
      <c r="F234">
        <v>13</v>
      </c>
      <c r="G234">
        <v>488.1</v>
      </c>
    </row>
    <row r="235" spans="1:7" x14ac:dyDescent="0.25">
      <c r="A235">
        <v>33</v>
      </c>
      <c r="B235">
        <v>15</v>
      </c>
      <c r="C235">
        <v>0</v>
      </c>
      <c r="D235">
        <v>13</v>
      </c>
      <c r="E235">
        <v>1999</v>
      </c>
      <c r="F235">
        <v>26</v>
      </c>
      <c r="G235">
        <v>492.15</v>
      </c>
    </row>
    <row r="236" spans="1:7" x14ac:dyDescent="0.25">
      <c r="A236">
        <v>50</v>
      </c>
      <c r="B236">
        <v>2</v>
      </c>
      <c r="C236">
        <v>2</v>
      </c>
      <c r="D236">
        <v>11</v>
      </c>
      <c r="E236">
        <v>2000</v>
      </c>
      <c r="F236">
        <v>25</v>
      </c>
      <c r="G236">
        <v>495.45</v>
      </c>
    </row>
    <row r="237" spans="1:7" x14ac:dyDescent="0.25">
      <c r="A237">
        <v>26</v>
      </c>
      <c r="B237">
        <v>8</v>
      </c>
      <c r="C237">
        <v>1</v>
      </c>
      <c r="D237">
        <v>12</v>
      </c>
      <c r="E237">
        <v>1994</v>
      </c>
      <c r="F237">
        <v>31</v>
      </c>
      <c r="G237">
        <v>497.6</v>
      </c>
    </row>
    <row r="238" spans="1:7" x14ac:dyDescent="0.25">
      <c r="A238">
        <v>23</v>
      </c>
      <c r="B238">
        <v>5</v>
      </c>
      <c r="C238">
        <v>5</v>
      </c>
      <c r="D238">
        <v>18</v>
      </c>
      <c r="E238">
        <v>1990</v>
      </c>
      <c r="F238">
        <v>35</v>
      </c>
      <c r="G238">
        <v>505.8</v>
      </c>
    </row>
    <row r="239" spans="1:7" x14ac:dyDescent="0.25">
      <c r="A239">
        <v>33</v>
      </c>
      <c r="B239">
        <v>9</v>
      </c>
      <c r="C239">
        <v>3</v>
      </c>
      <c r="D239">
        <v>11</v>
      </c>
      <c r="E239">
        <v>2006</v>
      </c>
      <c r="F239">
        <v>19</v>
      </c>
      <c r="G239">
        <v>497.65</v>
      </c>
    </row>
    <row r="240" spans="1:7" x14ac:dyDescent="0.25">
      <c r="A240">
        <v>46</v>
      </c>
      <c r="B240">
        <v>18</v>
      </c>
      <c r="C240">
        <v>5</v>
      </c>
      <c r="D240">
        <v>18</v>
      </c>
      <c r="E240">
        <v>2011</v>
      </c>
      <c r="F240">
        <v>14</v>
      </c>
      <c r="G240">
        <v>495.2</v>
      </c>
    </row>
    <row r="241" spans="1:7" x14ac:dyDescent="0.25">
      <c r="A241">
        <v>20</v>
      </c>
      <c r="B241">
        <v>2</v>
      </c>
      <c r="C241">
        <v>3</v>
      </c>
      <c r="D241">
        <v>23</v>
      </c>
      <c r="E241">
        <v>2023</v>
      </c>
      <c r="F241">
        <v>2</v>
      </c>
      <c r="G241">
        <v>501.25</v>
      </c>
    </row>
    <row r="242" spans="1:7" x14ac:dyDescent="0.25">
      <c r="A242">
        <v>37</v>
      </c>
      <c r="B242">
        <v>19</v>
      </c>
      <c r="C242">
        <v>1</v>
      </c>
      <c r="D242">
        <v>17</v>
      </c>
      <c r="E242">
        <v>2018</v>
      </c>
      <c r="F242">
        <v>7</v>
      </c>
      <c r="G242">
        <v>489.95</v>
      </c>
    </row>
    <row r="243" spans="1:7" x14ac:dyDescent="0.25">
      <c r="A243">
        <v>53</v>
      </c>
      <c r="B243">
        <v>22</v>
      </c>
      <c r="C243">
        <v>3</v>
      </c>
      <c r="D243">
        <v>25</v>
      </c>
      <c r="E243">
        <v>1993</v>
      </c>
      <c r="F243">
        <v>32</v>
      </c>
      <c r="G243">
        <v>491.75</v>
      </c>
    </row>
    <row r="244" spans="1:7" x14ac:dyDescent="0.25">
      <c r="A244">
        <v>36</v>
      </c>
      <c r="B244">
        <v>18</v>
      </c>
      <c r="C244">
        <v>4</v>
      </c>
      <c r="D244">
        <v>18</v>
      </c>
      <c r="E244">
        <v>1994</v>
      </c>
      <c r="F244">
        <v>31</v>
      </c>
      <c r="G244">
        <v>497.4</v>
      </c>
    </row>
    <row r="245" spans="1:7" x14ac:dyDescent="0.25">
      <c r="A245">
        <v>43</v>
      </c>
      <c r="B245">
        <v>25</v>
      </c>
      <c r="C245">
        <v>4</v>
      </c>
      <c r="D245">
        <v>22</v>
      </c>
      <c r="E245">
        <v>2000</v>
      </c>
      <c r="F245">
        <v>25</v>
      </c>
      <c r="G245">
        <v>493.5</v>
      </c>
    </row>
    <row r="246" spans="1:7" x14ac:dyDescent="0.25">
      <c r="A246">
        <v>20</v>
      </c>
      <c r="B246">
        <v>2</v>
      </c>
      <c r="C246">
        <v>4</v>
      </c>
      <c r="D246">
        <v>16</v>
      </c>
      <c r="E246">
        <v>2010</v>
      </c>
      <c r="F246">
        <v>15</v>
      </c>
      <c r="G246">
        <v>503.7</v>
      </c>
    </row>
    <row r="247" spans="1:7" x14ac:dyDescent="0.25">
      <c r="A247">
        <v>36</v>
      </c>
      <c r="B247">
        <v>18</v>
      </c>
      <c r="C247">
        <v>0</v>
      </c>
      <c r="D247">
        <v>22</v>
      </c>
      <c r="E247">
        <v>2024</v>
      </c>
      <c r="F247">
        <v>1</v>
      </c>
      <c r="G247">
        <v>488.6</v>
      </c>
    </row>
    <row r="248" spans="1:7" x14ac:dyDescent="0.25">
      <c r="A248">
        <v>37</v>
      </c>
      <c r="B248">
        <v>7</v>
      </c>
      <c r="C248">
        <v>1</v>
      </c>
      <c r="D248">
        <v>24</v>
      </c>
      <c r="E248">
        <v>2001</v>
      </c>
      <c r="F248">
        <v>24</v>
      </c>
      <c r="G248">
        <v>495.6</v>
      </c>
    </row>
    <row r="249" spans="1:7" x14ac:dyDescent="0.25">
      <c r="A249">
        <v>49</v>
      </c>
      <c r="B249">
        <v>0</v>
      </c>
      <c r="C249">
        <v>5</v>
      </c>
      <c r="D249">
        <v>25</v>
      </c>
      <c r="E249">
        <v>2015</v>
      </c>
      <c r="F249">
        <v>10</v>
      </c>
      <c r="G249">
        <v>499.95</v>
      </c>
    </row>
    <row r="250" spans="1:7" x14ac:dyDescent="0.25">
      <c r="A250">
        <v>24</v>
      </c>
      <c r="B250">
        <v>2</v>
      </c>
      <c r="C250">
        <v>5</v>
      </c>
      <c r="D250">
        <v>25</v>
      </c>
      <c r="E250">
        <v>2008</v>
      </c>
      <c r="F250">
        <v>17</v>
      </c>
      <c r="G250">
        <v>505.05</v>
      </c>
    </row>
    <row r="251" spans="1:7" x14ac:dyDescent="0.25">
      <c r="A251">
        <v>58</v>
      </c>
      <c r="B251">
        <v>23</v>
      </c>
      <c r="C251">
        <v>0</v>
      </c>
      <c r="D251">
        <v>19</v>
      </c>
      <c r="E251">
        <v>1996</v>
      </c>
      <c r="F251">
        <v>29</v>
      </c>
      <c r="G251">
        <v>485.35</v>
      </c>
    </row>
    <row r="252" spans="1:7" x14ac:dyDescent="0.25">
      <c r="A252">
        <v>50</v>
      </c>
      <c r="B252">
        <v>22</v>
      </c>
      <c r="C252">
        <v>3</v>
      </c>
      <c r="D252">
        <v>13</v>
      </c>
      <c r="E252">
        <v>1996</v>
      </c>
      <c r="F252">
        <v>29</v>
      </c>
      <c r="G252">
        <v>491.45</v>
      </c>
    </row>
    <row r="253" spans="1:7" x14ac:dyDescent="0.25">
      <c r="A253">
        <v>57</v>
      </c>
      <c r="B253">
        <v>7</v>
      </c>
      <c r="C253">
        <v>0</v>
      </c>
      <c r="D253">
        <v>20</v>
      </c>
      <c r="E253">
        <v>2015</v>
      </c>
      <c r="F253">
        <v>10</v>
      </c>
      <c r="G253">
        <v>488.5</v>
      </c>
    </row>
    <row r="254" spans="1:7" x14ac:dyDescent="0.25">
      <c r="A254">
        <v>56</v>
      </c>
      <c r="B254">
        <v>36</v>
      </c>
      <c r="C254">
        <v>3</v>
      </c>
      <c r="D254">
        <v>14</v>
      </c>
      <c r="E254">
        <v>1994</v>
      </c>
      <c r="F254">
        <v>31</v>
      </c>
      <c r="G254">
        <v>486.3</v>
      </c>
    </row>
    <row r="255" spans="1:7" x14ac:dyDescent="0.25">
      <c r="A255">
        <v>35</v>
      </c>
      <c r="B255">
        <v>2</v>
      </c>
      <c r="C255">
        <v>3</v>
      </c>
      <c r="D255">
        <v>23</v>
      </c>
      <c r="E255">
        <v>2010</v>
      </c>
      <c r="F255">
        <v>15</v>
      </c>
      <c r="G255">
        <v>499.55</v>
      </c>
    </row>
    <row r="256" spans="1:7" x14ac:dyDescent="0.25">
      <c r="A256">
        <v>57</v>
      </c>
      <c r="B256">
        <v>32</v>
      </c>
      <c r="C256">
        <v>2</v>
      </c>
      <c r="D256">
        <v>16</v>
      </c>
      <c r="E256">
        <v>2003</v>
      </c>
      <c r="F256">
        <v>22</v>
      </c>
      <c r="G256">
        <v>485</v>
      </c>
    </row>
    <row r="257" spans="1:7" x14ac:dyDescent="0.25">
      <c r="A257">
        <v>18</v>
      </c>
      <c r="B257">
        <v>0</v>
      </c>
      <c r="C257">
        <v>5</v>
      </c>
      <c r="D257">
        <v>18</v>
      </c>
      <c r="E257">
        <v>1993</v>
      </c>
      <c r="F257">
        <v>32</v>
      </c>
      <c r="G257">
        <v>508</v>
      </c>
    </row>
    <row r="258" spans="1:7" x14ac:dyDescent="0.25">
      <c r="A258">
        <v>28</v>
      </c>
      <c r="B258">
        <v>7</v>
      </c>
      <c r="C258">
        <v>4</v>
      </c>
      <c r="D258">
        <v>15</v>
      </c>
      <c r="E258">
        <v>2012</v>
      </c>
      <c r="F258">
        <v>13</v>
      </c>
      <c r="G258">
        <v>500.35</v>
      </c>
    </row>
    <row r="259" spans="1:7" x14ac:dyDescent="0.25">
      <c r="A259">
        <v>45</v>
      </c>
      <c r="B259">
        <v>27</v>
      </c>
      <c r="C259">
        <v>3</v>
      </c>
      <c r="D259">
        <v>13</v>
      </c>
      <c r="E259">
        <v>2009</v>
      </c>
      <c r="F259">
        <v>16</v>
      </c>
      <c r="G259">
        <v>489.65</v>
      </c>
    </row>
    <row r="260" spans="1:7" x14ac:dyDescent="0.25">
      <c r="A260">
        <v>42</v>
      </c>
      <c r="B260">
        <v>24</v>
      </c>
      <c r="C260">
        <v>2</v>
      </c>
      <c r="D260">
        <v>16</v>
      </c>
      <c r="E260">
        <v>2004</v>
      </c>
      <c r="F260">
        <v>21</v>
      </c>
      <c r="G260">
        <v>490.3</v>
      </c>
    </row>
    <row r="261" spans="1:7" x14ac:dyDescent="0.25">
      <c r="A261">
        <v>40</v>
      </c>
      <c r="B261">
        <v>22</v>
      </c>
      <c r="C261">
        <v>5</v>
      </c>
      <c r="D261">
        <v>14</v>
      </c>
      <c r="E261">
        <v>2018</v>
      </c>
      <c r="F261">
        <v>7</v>
      </c>
      <c r="G261">
        <v>494.3</v>
      </c>
    </row>
    <row r="262" spans="1:7" x14ac:dyDescent="0.25">
      <c r="A262">
        <v>48</v>
      </c>
      <c r="B262">
        <v>23</v>
      </c>
      <c r="C262">
        <v>4</v>
      </c>
      <c r="D262">
        <v>19</v>
      </c>
      <c r="E262">
        <v>1997</v>
      </c>
      <c r="F262">
        <v>28</v>
      </c>
      <c r="G262">
        <v>493.25</v>
      </c>
    </row>
    <row r="263" spans="1:7" x14ac:dyDescent="0.25">
      <c r="A263">
        <v>47</v>
      </c>
      <c r="B263">
        <v>13</v>
      </c>
      <c r="C263">
        <v>3</v>
      </c>
      <c r="D263">
        <v>23</v>
      </c>
      <c r="E263">
        <v>2008</v>
      </c>
      <c r="F263">
        <v>17</v>
      </c>
      <c r="G263">
        <v>494.05</v>
      </c>
    </row>
    <row r="264" spans="1:7" x14ac:dyDescent="0.25">
      <c r="A264">
        <v>59</v>
      </c>
      <c r="B264">
        <v>31</v>
      </c>
      <c r="C264">
        <v>3</v>
      </c>
      <c r="D264">
        <v>13</v>
      </c>
      <c r="E264">
        <v>2017</v>
      </c>
      <c r="F264">
        <v>8</v>
      </c>
      <c r="G264">
        <v>484.85</v>
      </c>
    </row>
    <row r="265" spans="1:7" x14ac:dyDescent="0.25">
      <c r="A265">
        <v>52</v>
      </c>
      <c r="B265">
        <v>15</v>
      </c>
      <c r="C265">
        <v>0</v>
      </c>
      <c r="D265">
        <v>14</v>
      </c>
      <c r="E265">
        <v>2016</v>
      </c>
      <c r="F265">
        <v>9</v>
      </c>
      <c r="G265">
        <v>486.7</v>
      </c>
    </row>
    <row r="266" spans="1:7" x14ac:dyDescent="0.25">
      <c r="A266">
        <v>24</v>
      </c>
      <c r="B266">
        <v>3</v>
      </c>
      <c r="C266">
        <v>0</v>
      </c>
      <c r="D266">
        <v>17</v>
      </c>
      <c r="E266">
        <v>1993</v>
      </c>
      <c r="F266">
        <v>32</v>
      </c>
      <c r="G266">
        <v>498.35</v>
      </c>
    </row>
    <row r="267" spans="1:7" x14ac:dyDescent="0.25">
      <c r="A267">
        <v>33</v>
      </c>
      <c r="B267">
        <v>15</v>
      </c>
      <c r="C267">
        <v>5</v>
      </c>
      <c r="D267">
        <v>17</v>
      </c>
      <c r="E267">
        <v>2004</v>
      </c>
      <c r="F267">
        <v>21</v>
      </c>
      <c r="G267">
        <v>499.35</v>
      </c>
    </row>
    <row r="268" spans="1:7" x14ac:dyDescent="0.25">
      <c r="A268">
        <v>43</v>
      </c>
      <c r="B268">
        <v>20</v>
      </c>
      <c r="C268">
        <v>4</v>
      </c>
      <c r="D268">
        <v>22</v>
      </c>
      <c r="E268">
        <v>2024</v>
      </c>
      <c r="F268">
        <v>1</v>
      </c>
      <c r="G268">
        <v>492.6</v>
      </c>
    </row>
    <row r="269" spans="1:7" x14ac:dyDescent="0.25">
      <c r="A269">
        <v>65</v>
      </c>
      <c r="B269">
        <v>13</v>
      </c>
      <c r="C269">
        <v>3</v>
      </c>
      <c r="D269">
        <v>22</v>
      </c>
      <c r="E269">
        <v>1990</v>
      </c>
      <c r="F269">
        <v>35</v>
      </c>
      <c r="G269">
        <v>492.2</v>
      </c>
    </row>
    <row r="270" spans="1:7" x14ac:dyDescent="0.25">
      <c r="A270">
        <v>19</v>
      </c>
      <c r="B270">
        <v>1</v>
      </c>
      <c r="C270">
        <v>5</v>
      </c>
      <c r="D270">
        <v>14</v>
      </c>
      <c r="E270">
        <v>1992</v>
      </c>
      <c r="F270">
        <v>33</v>
      </c>
      <c r="G270">
        <v>507.4</v>
      </c>
    </row>
    <row r="271" spans="1:7" x14ac:dyDescent="0.25">
      <c r="A271">
        <v>18</v>
      </c>
      <c r="B271">
        <v>0</v>
      </c>
      <c r="C271">
        <v>5</v>
      </c>
      <c r="D271">
        <v>16</v>
      </c>
      <c r="E271">
        <v>2013</v>
      </c>
      <c r="F271">
        <v>12</v>
      </c>
      <c r="G271">
        <v>505.9</v>
      </c>
    </row>
    <row r="272" spans="1:7" x14ac:dyDescent="0.25">
      <c r="A272">
        <v>65</v>
      </c>
      <c r="B272">
        <v>6</v>
      </c>
      <c r="C272">
        <v>1</v>
      </c>
      <c r="D272">
        <v>22</v>
      </c>
      <c r="E272">
        <v>2016</v>
      </c>
      <c r="F272">
        <v>9</v>
      </c>
      <c r="G272">
        <v>488.7</v>
      </c>
    </row>
    <row r="273" spans="1:7" x14ac:dyDescent="0.25">
      <c r="A273">
        <v>29</v>
      </c>
      <c r="B273">
        <v>9</v>
      </c>
      <c r="C273">
        <v>0</v>
      </c>
      <c r="D273">
        <v>23</v>
      </c>
      <c r="E273">
        <v>2025</v>
      </c>
      <c r="F273">
        <v>0</v>
      </c>
      <c r="G273">
        <v>492.65</v>
      </c>
    </row>
    <row r="274" spans="1:7" x14ac:dyDescent="0.25">
      <c r="A274">
        <v>22</v>
      </c>
      <c r="B274">
        <v>4</v>
      </c>
      <c r="C274">
        <v>4</v>
      </c>
      <c r="D274">
        <v>13</v>
      </c>
      <c r="E274">
        <v>2023</v>
      </c>
      <c r="F274">
        <v>2</v>
      </c>
      <c r="G274">
        <v>501.25</v>
      </c>
    </row>
    <row r="275" spans="1:7" x14ac:dyDescent="0.25">
      <c r="A275">
        <v>54</v>
      </c>
      <c r="B275">
        <v>32</v>
      </c>
      <c r="C275">
        <v>3</v>
      </c>
      <c r="D275">
        <v>16</v>
      </c>
      <c r="E275">
        <v>2018</v>
      </c>
      <c r="F275">
        <v>7</v>
      </c>
      <c r="G275">
        <v>485.6</v>
      </c>
    </row>
    <row r="276" spans="1:7" x14ac:dyDescent="0.25">
      <c r="A276">
        <v>49</v>
      </c>
      <c r="B276">
        <v>22</v>
      </c>
      <c r="C276">
        <v>5</v>
      </c>
      <c r="D276">
        <v>22</v>
      </c>
      <c r="E276">
        <v>2013</v>
      </c>
      <c r="F276">
        <v>12</v>
      </c>
      <c r="G276">
        <v>493.4</v>
      </c>
    </row>
    <row r="277" spans="1:7" x14ac:dyDescent="0.25">
      <c r="A277">
        <v>26</v>
      </c>
      <c r="B277">
        <v>8</v>
      </c>
      <c r="C277">
        <v>3</v>
      </c>
      <c r="D277">
        <v>12</v>
      </c>
      <c r="E277">
        <v>2013</v>
      </c>
      <c r="F277">
        <v>12</v>
      </c>
      <c r="G277">
        <v>498.7</v>
      </c>
    </row>
    <row r="278" spans="1:7" x14ac:dyDescent="0.25">
      <c r="A278">
        <v>58</v>
      </c>
      <c r="B278">
        <v>18</v>
      </c>
      <c r="C278">
        <v>1</v>
      </c>
      <c r="D278">
        <v>18</v>
      </c>
      <c r="E278">
        <v>1993</v>
      </c>
      <c r="F278">
        <v>32</v>
      </c>
      <c r="G278">
        <v>488.6</v>
      </c>
    </row>
    <row r="279" spans="1:7" x14ac:dyDescent="0.25">
      <c r="A279">
        <v>52</v>
      </c>
      <c r="B279">
        <v>18</v>
      </c>
      <c r="C279">
        <v>4</v>
      </c>
      <c r="D279">
        <v>12</v>
      </c>
      <c r="E279">
        <v>1992</v>
      </c>
      <c r="F279">
        <v>33</v>
      </c>
      <c r="G279">
        <v>494.1</v>
      </c>
    </row>
    <row r="280" spans="1:7" x14ac:dyDescent="0.25">
      <c r="A280">
        <v>36</v>
      </c>
      <c r="B280">
        <v>18</v>
      </c>
      <c r="C280">
        <v>5</v>
      </c>
      <c r="D280">
        <v>21</v>
      </c>
      <c r="E280">
        <v>2023</v>
      </c>
      <c r="F280">
        <v>2</v>
      </c>
      <c r="G280">
        <v>496.15</v>
      </c>
    </row>
    <row r="281" spans="1:7" x14ac:dyDescent="0.25">
      <c r="A281">
        <v>65</v>
      </c>
      <c r="B281">
        <v>28</v>
      </c>
      <c r="C281">
        <v>3</v>
      </c>
      <c r="D281">
        <v>17</v>
      </c>
      <c r="E281">
        <v>2012</v>
      </c>
      <c r="F281">
        <v>13</v>
      </c>
      <c r="G281">
        <v>485.25</v>
      </c>
    </row>
    <row r="282" spans="1:7" x14ac:dyDescent="0.25">
      <c r="A282">
        <v>33</v>
      </c>
      <c r="B282">
        <v>15</v>
      </c>
      <c r="C282">
        <v>0</v>
      </c>
      <c r="D282">
        <v>19</v>
      </c>
      <c r="E282">
        <v>2012</v>
      </c>
      <c r="F282">
        <v>13</v>
      </c>
      <c r="G282">
        <v>491.15</v>
      </c>
    </row>
    <row r="283" spans="1:7" x14ac:dyDescent="0.25">
      <c r="A283">
        <v>20</v>
      </c>
      <c r="B283">
        <v>1</v>
      </c>
      <c r="C283">
        <v>1</v>
      </c>
      <c r="D283">
        <v>11</v>
      </c>
      <c r="E283">
        <v>1994</v>
      </c>
      <c r="F283">
        <v>31</v>
      </c>
      <c r="G283">
        <v>500.85</v>
      </c>
    </row>
    <row r="284" spans="1:7" x14ac:dyDescent="0.25">
      <c r="A284">
        <v>37</v>
      </c>
      <c r="B284">
        <v>0</v>
      </c>
      <c r="C284">
        <v>4</v>
      </c>
      <c r="D284">
        <v>18</v>
      </c>
      <c r="E284">
        <v>2020</v>
      </c>
      <c r="F284">
        <v>5</v>
      </c>
      <c r="G284">
        <v>500</v>
      </c>
    </row>
    <row r="285" spans="1:7" x14ac:dyDescent="0.25">
      <c r="A285">
        <v>41</v>
      </c>
      <c r="B285">
        <v>4</v>
      </c>
      <c r="C285">
        <v>1</v>
      </c>
      <c r="D285">
        <v>17</v>
      </c>
      <c r="E285">
        <v>1995</v>
      </c>
      <c r="F285">
        <v>30</v>
      </c>
      <c r="G285">
        <v>495.95</v>
      </c>
    </row>
    <row r="286" spans="1:7" x14ac:dyDescent="0.25">
      <c r="A286">
        <v>50</v>
      </c>
      <c r="B286">
        <v>19</v>
      </c>
      <c r="C286">
        <v>0</v>
      </c>
      <c r="D286">
        <v>16</v>
      </c>
      <c r="E286">
        <v>1999</v>
      </c>
      <c r="F286">
        <v>26</v>
      </c>
      <c r="G286">
        <v>487.7</v>
      </c>
    </row>
    <row r="287" spans="1:7" x14ac:dyDescent="0.25">
      <c r="A287">
        <v>41</v>
      </c>
      <c r="B287">
        <v>10</v>
      </c>
      <c r="C287">
        <v>4</v>
      </c>
      <c r="D287">
        <v>16</v>
      </c>
      <c r="E287">
        <v>1996</v>
      </c>
      <c r="F287">
        <v>29</v>
      </c>
      <c r="G287">
        <v>498.5</v>
      </c>
    </row>
    <row r="288" spans="1:7" x14ac:dyDescent="0.25">
      <c r="A288">
        <v>28</v>
      </c>
      <c r="B288">
        <v>1</v>
      </c>
      <c r="C288">
        <v>1</v>
      </c>
      <c r="D288">
        <v>16</v>
      </c>
      <c r="E288">
        <v>2010</v>
      </c>
      <c r="F288">
        <v>15</v>
      </c>
      <c r="G288">
        <v>497.9</v>
      </c>
    </row>
    <row r="289" spans="1:7" x14ac:dyDescent="0.25">
      <c r="A289">
        <v>25</v>
      </c>
      <c r="B289">
        <v>2</v>
      </c>
      <c r="C289">
        <v>2</v>
      </c>
      <c r="D289">
        <v>19</v>
      </c>
      <c r="E289">
        <v>2009</v>
      </c>
      <c r="F289">
        <v>16</v>
      </c>
      <c r="G289">
        <v>499.95</v>
      </c>
    </row>
    <row r="290" spans="1:7" x14ac:dyDescent="0.25">
      <c r="A290">
        <v>53</v>
      </c>
      <c r="B290">
        <v>22</v>
      </c>
      <c r="C290">
        <v>0</v>
      </c>
      <c r="D290">
        <v>12</v>
      </c>
      <c r="E290">
        <v>1992</v>
      </c>
      <c r="F290">
        <v>33</v>
      </c>
      <c r="G290">
        <v>486.7</v>
      </c>
    </row>
    <row r="291" spans="1:7" x14ac:dyDescent="0.25">
      <c r="A291">
        <v>55</v>
      </c>
      <c r="B291">
        <v>11</v>
      </c>
      <c r="C291">
        <v>0</v>
      </c>
      <c r="D291">
        <v>11</v>
      </c>
      <c r="E291">
        <v>2011</v>
      </c>
      <c r="F291">
        <v>14</v>
      </c>
      <c r="G291">
        <v>487.65</v>
      </c>
    </row>
    <row r="292" spans="1:7" x14ac:dyDescent="0.25">
      <c r="A292">
        <v>57</v>
      </c>
      <c r="B292">
        <v>19</v>
      </c>
      <c r="C292">
        <v>0</v>
      </c>
      <c r="D292">
        <v>23</v>
      </c>
      <c r="E292">
        <v>1993</v>
      </c>
      <c r="F292">
        <v>32</v>
      </c>
      <c r="G292">
        <v>487.25</v>
      </c>
    </row>
    <row r="293" spans="1:7" x14ac:dyDescent="0.25">
      <c r="A293">
        <v>37</v>
      </c>
      <c r="B293">
        <v>4</v>
      </c>
      <c r="C293">
        <v>2</v>
      </c>
      <c r="D293">
        <v>22</v>
      </c>
      <c r="E293">
        <v>2017</v>
      </c>
      <c r="F293">
        <v>8</v>
      </c>
      <c r="G293">
        <v>496.3</v>
      </c>
    </row>
    <row r="294" spans="1:7" x14ac:dyDescent="0.25">
      <c r="A294">
        <v>52</v>
      </c>
      <c r="B294">
        <v>34</v>
      </c>
      <c r="C294">
        <v>2</v>
      </c>
      <c r="D294">
        <v>16</v>
      </c>
      <c r="E294">
        <v>2001</v>
      </c>
      <c r="F294">
        <v>24</v>
      </c>
      <c r="G294">
        <v>485.6</v>
      </c>
    </row>
    <row r="295" spans="1:7" x14ac:dyDescent="0.25">
      <c r="A295">
        <v>65</v>
      </c>
      <c r="B295">
        <v>37</v>
      </c>
      <c r="C295">
        <v>3</v>
      </c>
      <c r="D295">
        <v>20</v>
      </c>
      <c r="E295">
        <v>2025</v>
      </c>
      <c r="F295">
        <v>0</v>
      </c>
      <c r="G295">
        <v>481.4</v>
      </c>
    </row>
    <row r="296" spans="1:7" x14ac:dyDescent="0.25">
      <c r="A296">
        <v>42</v>
      </c>
      <c r="B296">
        <v>24</v>
      </c>
      <c r="C296">
        <v>5</v>
      </c>
      <c r="D296">
        <v>21</v>
      </c>
      <c r="E296">
        <v>1994</v>
      </c>
      <c r="F296">
        <v>31</v>
      </c>
      <c r="G296">
        <v>496.05</v>
      </c>
    </row>
    <row r="297" spans="1:7" x14ac:dyDescent="0.25">
      <c r="A297">
        <v>52</v>
      </c>
      <c r="B297">
        <v>8</v>
      </c>
      <c r="C297">
        <v>1</v>
      </c>
      <c r="D297">
        <v>18</v>
      </c>
      <c r="E297">
        <v>2002</v>
      </c>
      <c r="F297">
        <v>23</v>
      </c>
      <c r="G297">
        <v>491.9</v>
      </c>
    </row>
    <row r="298" spans="1:7" x14ac:dyDescent="0.25">
      <c r="A298">
        <v>42</v>
      </c>
      <c r="B298">
        <v>24</v>
      </c>
      <c r="C298">
        <v>3</v>
      </c>
      <c r="D298">
        <v>13</v>
      </c>
      <c r="E298">
        <v>2012</v>
      </c>
      <c r="F298">
        <v>13</v>
      </c>
      <c r="G298">
        <v>490.85</v>
      </c>
    </row>
    <row r="299" spans="1:7" x14ac:dyDescent="0.25">
      <c r="A299">
        <v>46</v>
      </c>
      <c r="B299">
        <v>28</v>
      </c>
      <c r="C299">
        <v>1</v>
      </c>
      <c r="D299">
        <v>22</v>
      </c>
      <c r="E299">
        <v>2019</v>
      </c>
      <c r="F299">
        <v>6</v>
      </c>
      <c r="G299">
        <v>485.6</v>
      </c>
    </row>
    <row r="300" spans="1:7" x14ac:dyDescent="0.25">
      <c r="A300">
        <v>35</v>
      </c>
      <c r="B300">
        <v>17</v>
      </c>
      <c r="C300">
        <v>5</v>
      </c>
      <c r="D300">
        <v>20</v>
      </c>
      <c r="E300">
        <v>2014</v>
      </c>
      <c r="F300">
        <v>11</v>
      </c>
      <c r="G300">
        <v>497.5</v>
      </c>
    </row>
    <row r="301" spans="1:7" x14ac:dyDescent="0.25">
      <c r="A301">
        <v>63</v>
      </c>
      <c r="B301">
        <v>23</v>
      </c>
      <c r="C301">
        <v>2</v>
      </c>
      <c r="D301">
        <v>11</v>
      </c>
      <c r="E301">
        <v>2016</v>
      </c>
      <c r="F301">
        <v>9</v>
      </c>
      <c r="G301">
        <v>484.95</v>
      </c>
    </row>
    <row r="302" spans="1:7" x14ac:dyDescent="0.25">
      <c r="A302">
        <v>35</v>
      </c>
      <c r="B302">
        <v>16</v>
      </c>
      <c r="C302">
        <v>5</v>
      </c>
      <c r="D302">
        <v>19</v>
      </c>
      <c r="E302">
        <v>2003</v>
      </c>
      <c r="F302">
        <v>22</v>
      </c>
      <c r="G302">
        <v>498.85</v>
      </c>
    </row>
    <row r="303" spans="1:7" x14ac:dyDescent="0.25">
      <c r="A303">
        <v>19</v>
      </c>
      <c r="B303">
        <v>1</v>
      </c>
      <c r="C303">
        <v>2</v>
      </c>
      <c r="D303">
        <v>23</v>
      </c>
      <c r="E303">
        <v>2025</v>
      </c>
      <c r="F303">
        <v>0</v>
      </c>
      <c r="G303">
        <v>500.05</v>
      </c>
    </row>
    <row r="304" spans="1:7" x14ac:dyDescent="0.25">
      <c r="A304">
        <v>52</v>
      </c>
      <c r="B304">
        <v>29</v>
      </c>
      <c r="C304">
        <v>5</v>
      </c>
      <c r="D304">
        <v>23</v>
      </c>
      <c r="E304">
        <v>2005</v>
      </c>
      <c r="F304">
        <v>20</v>
      </c>
      <c r="G304">
        <v>491.55</v>
      </c>
    </row>
    <row r="305" spans="1:7" x14ac:dyDescent="0.25">
      <c r="A305">
        <v>33</v>
      </c>
      <c r="B305">
        <v>15</v>
      </c>
      <c r="C305">
        <v>3</v>
      </c>
      <c r="D305">
        <v>11</v>
      </c>
      <c r="E305">
        <v>2011</v>
      </c>
      <c r="F305">
        <v>14</v>
      </c>
      <c r="G305">
        <v>495.35</v>
      </c>
    </row>
    <row r="306" spans="1:7" x14ac:dyDescent="0.25">
      <c r="A306">
        <v>58</v>
      </c>
      <c r="B306">
        <v>31</v>
      </c>
      <c r="C306">
        <v>4</v>
      </c>
      <c r="D306">
        <v>13</v>
      </c>
      <c r="E306">
        <v>2010</v>
      </c>
      <c r="F306">
        <v>15</v>
      </c>
      <c r="G306">
        <v>487.25</v>
      </c>
    </row>
    <row r="307" spans="1:7" x14ac:dyDescent="0.25">
      <c r="A307">
        <v>53</v>
      </c>
      <c r="B307">
        <v>16</v>
      </c>
      <c r="C307">
        <v>3</v>
      </c>
      <c r="D307">
        <v>18</v>
      </c>
      <c r="E307">
        <v>2010</v>
      </c>
      <c r="F307">
        <v>15</v>
      </c>
      <c r="G307">
        <v>491.5</v>
      </c>
    </row>
    <row r="308" spans="1:7" x14ac:dyDescent="0.25">
      <c r="A308">
        <v>50</v>
      </c>
      <c r="B308">
        <v>16</v>
      </c>
      <c r="C308">
        <v>1</v>
      </c>
      <c r="D308">
        <v>24</v>
      </c>
      <c r="E308">
        <v>1997</v>
      </c>
      <c r="F308">
        <v>28</v>
      </c>
      <c r="G308">
        <v>490.7</v>
      </c>
    </row>
    <row r="309" spans="1:7" x14ac:dyDescent="0.25">
      <c r="A309">
        <v>21</v>
      </c>
      <c r="B309">
        <v>3</v>
      </c>
      <c r="C309">
        <v>3</v>
      </c>
      <c r="D309">
        <v>13</v>
      </c>
      <c r="E309">
        <v>2005</v>
      </c>
      <c r="F309">
        <v>20</v>
      </c>
      <c r="G309">
        <v>502.05</v>
      </c>
    </row>
    <row r="310" spans="1:7" x14ac:dyDescent="0.25">
      <c r="A310">
        <v>50</v>
      </c>
      <c r="B310">
        <v>8</v>
      </c>
      <c r="C310">
        <v>0</v>
      </c>
      <c r="D310">
        <v>23</v>
      </c>
      <c r="E310">
        <v>2020</v>
      </c>
      <c r="F310">
        <v>5</v>
      </c>
      <c r="G310">
        <v>489.25</v>
      </c>
    </row>
    <row r="311" spans="1:7" x14ac:dyDescent="0.25">
      <c r="A311">
        <v>31</v>
      </c>
      <c r="B311">
        <v>13</v>
      </c>
      <c r="C311">
        <v>1</v>
      </c>
      <c r="D311">
        <v>14</v>
      </c>
      <c r="E311">
        <v>1999</v>
      </c>
      <c r="F311">
        <v>26</v>
      </c>
      <c r="G311">
        <v>494.7</v>
      </c>
    </row>
    <row r="312" spans="1:7" x14ac:dyDescent="0.25">
      <c r="A312">
        <v>38</v>
      </c>
      <c r="B312">
        <v>1</v>
      </c>
      <c r="C312">
        <v>5</v>
      </c>
      <c r="D312">
        <v>18</v>
      </c>
      <c r="E312">
        <v>2021</v>
      </c>
      <c r="F312">
        <v>4</v>
      </c>
      <c r="G312">
        <v>500.9</v>
      </c>
    </row>
    <row r="313" spans="1:7" x14ac:dyDescent="0.25">
      <c r="A313">
        <v>65</v>
      </c>
      <c r="B313">
        <v>24</v>
      </c>
      <c r="C313">
        <v>1</v>
      </c>
      <c r="D313">
        <v>11</v>
      </c>
      <c r="E313">
        <v>2023</v>
      </c>
      <c r="F313">
        <v>2</v>
      </c>
      <c r="G313">
        <v>482.05</v>
      </c>
    </row>
    <row r="314" spans="1:7" x14ac:dyDescent="0.25">
      <c r="A314">
        <v>37</v>
      </c>
      <c r="B314">
        <v>19</v>
      </c>
      <c r="C314">
        <v>4</v>
      </c>
      <c r="D314">
        <v>23</v>
      </c>
      <c r="E314">
        <v>1998</v>
      </c>
      <c r="F314">
        <v>27</v>
      </c>
      <c r="G314">
        <v>496.75</v>
      </c>
    </row>
    <row r="315" spans="1:7" x14ac:dyDescent="0.25">
      <c r="A315">
        <v>25</v>
      </c>
      <c r="B315">
        <v>7</v>
      </c>
      <c r="C315">
        <v>2</v>
      </c>
      <c r="D315">
        <v>23</v>
      </c>
      <c r="E315">
        <v>2006</v>
      </c>
      <c r="F315">
        <v>19</v>
      </c>
      <c r="G315">
        <v>498.95</v>
      </c>
    </row>
    <row r="316" spans="1:7" x14ac:dyDescent="0.25">
      <c r="A316">
        <v>24</v>
      </c>
      <c r="B316">
        <v>6</v>
      </c>
      <c r="C316">
        <v>5</v>
      </c>
      <c r="D316">
        <v>16</v>
      </c>
      <c r="E316">
        <v>2000</v>
      </c>
      <c r="F316">
        <v>25</v>
      </c>
      <c r="G316">
        <v>504.2</v>
      </c>
    </row>
    <row r="317" spans="1:7" x14ac:dyDescent="0.25">
      <c r="A317">
        <v>20</v>
      </c>
      <c r="B317">
        <v>2</v>
      </c>
      <c r="C317">
        <v>1</v>
      </c>
      <c r="D317">
        <v>11</v>
      </c>
      <c r="E317">
        <v>2021</v>
      </c>
      <c r="F317">
        <v>4</v>
      </c>
      <c r="G317">
        <v>497.85</v>
      </c>
    </row>
    <row r="318" spans="1:7" x14ac:dyDescent="0.25">
      <c r="A318">
        <v>34</v>
      </c>
      <c r="B318">
        <v>16</v>
      </c>
      <c r="C318">
        <v>5</v>
      </c>
      <c r="D318">
        <v>24</v>
      </c>
      <c r="E318">
        <v>1999</v>
      </c>
      <c r="F318">
        <v>26</v>
      </c>
      <c r="G318">
        <v>499.7</v>
      </c>
    </row>
    <row r="319" spans="1:7" x14ac:dyDescent="0.25">
      <c r="A319">
        <v>50</v>
      </c>
      <c r="B319">
        <v>28</v>
      </c>
      <c r="C319">
        <v>5</v>
      </c>
      <c r="D319">
        <v>11</v>
      </c>
      <c r="E319">
        <v>2011</v>
      </c>
      <c r="F319">
        <v>14</v>
      </c>
      <c r="G319">
        <v>491.05</v>
      </c>
    </row>
    <row r="320" spans="1:7" x14ac:dyDescent="0.25">
      <c r="A320">
        <v>65</v>
      </c>
      <c r="B320">
        <v>33</v>
      </c>
      <c r="C320">
        <v>5</v>
      </c>
      <c r="D320">
        <v>24</v>
      </c>
      <c r="E320">
        <v>2006</v>
      </c>
      <c r="F320">
        <v>19</v>
      </c>
      <c r="G320">
        <v>487.7</v>
      </c>
    </row>
    <row r="321" spans="1:7" x14ac:dyDescent="0.25">
      <c r="A321">
        <v>29</v>
      </c>
      <c r="B321">
        <v>11</v>
      </c>
      <c r="C321">
        <v>2</v>
      </c>
      <c r="D321">
        <v>18</v>
      </c>
      <c r="E321">
        <v>1993</v>
      </c>
      <c r="F321">
        <v>32</v>
      </c>
      <c r="G321">
        <v>498</v>
      </c>
    </row>
    <row r="322" spans="1:7" x14ac:dyDescent="0.25">
      <c r="A322">
        <v>39</v>
      </c>
      <c r="B322">
        <v>21</v>
      </c>
      <c r="C322">
        <v>3</v>
      </c>
      <c r="D322">
        <v>21</v>
      </c>
      <c r="E322">
        <v>2014</v>
      </c>
      <c r="F322">
        <v>11</v>
      </c>
      <c r="G322">
        <v>492.55</v>
      </c>
    </row>
    <row r="323" spans="1:7" x14ac:dyDescent="0.25">
      <c r="A323">
        <v>39</v>
      </c>
      <c r="B323">
        <v>10</v>
      </c>
      <c r="C323">
        <v>5</v>
      </c>
      <c r="D323">
        <v>14</v>
      </c>
      <c r="E323">
        <v>2010</v>
      </c>
      <c r="F323">
        <v>15</v>
      </c>
      <c r="G323">
        <v>498.9</v>
      </c>
    </row>
    <row r="324" spans="1:7" x14ac:dyDescent="0.25">
      <c r="A324">
        <v>63</v>
      </c>
      <c r="B324">
        <v>5</v>
      </c>
      <c r="C324">
        <v>0</v>
      </c>
      <c r="D324">
        <v>22</v>
      </c>
      <c r="E324">
        <v>1990</v>
      </c>
      <c r="F324">
        <v>35</v>
      </c>
      <c r="G324">
        <v>490.5</v>
      </c>
    </row>
    <row r="325" spans="1:7" x14ac:dyDescent="0.25">
      <c r="A325">
        <v>47</v>
      </c>
      <c r="B325">
        <v>17</v>
      </c>
      <c r="C325">
        <v>4</v>
      </c>
      <c r="D325">
        <v>11</v>
      </c>
      <c r="E325">
        <v>2014</v>
      </c>
      <c r="F325">
        <v>11</v>
      </c>
      <c r="G325">
        <v>493.15</v>
      </c>
    </row>
    <row r="326" spans="1:7" x14ac:dyDescent="0.25">
      <c r="A326">
        <v>55</v>
      </c>
      <c r="B326">
        <v>20</v>
      </c>
      <c r="C326">
        <v>2</v>
      </c>
      <c r="D326">
        <v>20</v>
      </c>
      <c r="E326">
        <v>2025</v>
      </c>
      <c r="F326">
        <v>0</v>
      </c>
      <c r="G326">
        <v>487</v>
      </c>
    </row>
    <row r="327" spans="1:7" x14ac:dyDescent="0.25">
      <c r="A327">
        <v>55</v>
      </c>
      <c r="B327">
        <v>35</v>
      </c>
      <c r="C327">
        <v>1</v>
      </c>
      <c r="D327">
        <v>17</v>
      </c>
      <c r="E327">
        <v>2006</v>
      </c>
      <c r="F327">
        <v>19</v>
      </c>
      <c r="G327">
        <v>482.75</v>
      </c>
    </row>
    <row r="328" spans="1:7" x14ac:dyDescent="0.25">
      <c r="A328">
        <v>62</v>
      </c>
      <c r="B328">
        <v>40</v>
      </c>
      <c r="C328">
        <v>2</v>
      </c>
      <c r="D328">
        <v>15</v>
      </c>
      <c r="E328">
        <v>2013</v>
      </c>
      <c r="F328">
        <v>12</v>
      </c>
      <c r="G328">
        <v>480.55</v>
      </c>
    </row>
    <row r="329" spans="1:7" x14ac:dyDescent="0.25">
      <c r="A329">
        <v>25</v>
      </c>
      <c r="B329">
        <v>7</v>
      </c>
      <c r="C329">
        <v>1</v>
      </c>
      <c r="D329">
        <v>15</v>
      </c>
      <c r="E329">
        <v>1991</v>
      </c>
      <c r="F329">
        <v>34</v>
      </c>
      <c r="G329">
        <v>498.55</v>
      </c>
    </row>
    <row r="330" spans="1:7" x14ac:dyDescent="0.25">
      <c r="A330">
        <v>44</v>
      </c>
      <c r="B330">
        <v>26</v>
      </c>
      <c r="C330">
        <v>2</v>
      </c>
      <c r="D330">
        <v>11</v>
      </c>
      <c r="E330">
        <v>2004</v>
      </c>
      <c r="F330">
        <v>21</v>
      </c>
      <c r="G330">
        <v>489.05</v>
      </c>
    </row>
    <row r="331" spans="1:7" x14ac:dyDescent="0.25">
      <c r="A331">
        <v>44</v>
      </c>
      <c r="B331">
        <v>16</v>
      </c>
      <c r="C331">
        <v>1</v>
      </c>
      <c r="D331">
        <v>24</v>
      </c>
      <c r="E331">
        <v>2021</v>
      </c>
      <c r="F331">
        <v>4</v>
      </c>
      <c r="G331">
        <v>489.5</v>
      </c>
    </row>
    <row r="332" spans="1:7" x14ac:dyDescent="0.25">
      <c r="A332">
        <v>51</v>
      </c>
      <c r="B332">
        <v>33</v>
      </c>
      <c r="C332">
        <v>5</v>
      </c>
      <c r="D332">
        <v>20</v>
      </c>
      <c r="E332">
        <v>1995</v>
      </c>
      <c r="F332">
        <v>30</v>
      </c>
      <c r="G332">
        <v>491.4</v>
      </c>
    </row>
    <row r="333" spans="1:7" x14ac:dyDescent="0.25">
      <c r="A333">
        <v>38</v>
      </c>
      <c r="B333">
        <v>20</v>
      </c>
      <c r="C333">
        <v>3</v>
      </c>
      <c r="D333">
        <v>21</v>
      </c>
      <c r="E333">
        <v>1990</v>
      </c>
      <c r="F333">
        <v>35</v>
      </c>
      <c r="G333">
        <v>495.45</v>
      </c>
    </row>
    <row r="334" spans="1:7" x14ac:dyDescent="0.25">
      <c r="A334">
        <v>47</v>
      </c>
      <c r="B334">
        <v>29</v>
      </c>
      <c r="C334">
        <v>1</v>
      </c>
      <c r="D334">
        <v>16</v>
      </c>
      <c r="E334">
        <v>2012</v>
      </c>
      <c r="F334">
        <v>13</v>
      </c>
      <c r="G334">
        <v>485.5</v>
      </c>
    </row>
    <row r="335" spans="1:7" x14ac:dyDescent="0.25">
      <c r="A335">
        <v>50</v>
      </c>
      <c r="B335">
        <v>11</v>
      </c>
      <c r="C335">
        <v>1</v>
      </c>
      <c r="D335">
        <v>24</v>
      </c>
      <c r="E335">
        <v>2006</v>
      </c>
      <c r="F335">
        <v>19</v>
      </c>
      <c r="G335">
        <v>491.3</v>
      </c>
    </row>
    <row r="336" spans="1:7" x14ac:dyDescent="0.25">
      <c r="A336">
        <v>45</v>
      </c>
      <c r="B336">
        <v>22</v>
      </c>
      <c r="C336">
        <v>0</v>
      </c>
      <c r="D336">
        <v>19</v>
      </c>
      <c r="E336">
        <v>2023</v>
      </c>
      <c r="F336">
        <v>2</v>
      </c>
      <c r="G336">
        <v>485.55</v>
      </c>
    </row>
    <row r="337" spans="1:7" x14ac:dyDescent="0.25">
      <c r="A337">
        <v>64</v>
      </c>
      <c r="B337">
        <v>21</v>
      </c>
      <c r="C337">
        <v>1</v>
      </c>
      <c r="D337">
        <v>19</v>
      </c>
      <c r="E337">
        <v>2018</v>
      </c>
      <c r="F337">
        <v>7</v>
      </c>
      <c r="G337">
        <v>484.05</v>
      </c>
    </row>
    <row r="338" spans="1:7" x14ac:dyDescent="0.25">
      <c r="A338">
        <v>50</v>
      </c>
      <c r="B338">
        <v>20</v>
      </c>
      <c r="C338">
        <v>0</v>
      </c>
      <c r="D338">
        <v>18</v>
      </c>
      <c r="E338">
        <v>1998</v>
      </c>
      <c r="F338">
        <v>27</v>
      </c>
      <c r="G338">
        <v>487.6</v>
      </c>
    </row>
    <row r="339" spans="1:7" x14ac:dyDescent="0.25">
      <c r="A339">
        <v>22</v>
      </c>
      <c r="B339">
        <v>4</v>
      </c>
      <c r="C339">
        <v>4</v>
      </c>
      <c r="D339">
        <v>15</v>
      </c>
      <c r="E339">
        <v>2002</v>
      </c>
      <c r="F339">
        <v>23</v>
      </c>
      <c r="G339">
        <v>503.45</v>
      </c>
    </row>
    <row r="340" spans="1:7" x14ac:dyDescent="0.25">
      <c r="A340">
        <v>65</v>
      </c>
      <c r="B340">
        <v>30</v>
      </c>
      <c r="C340">
        <v>5</v>
      </c>
      <c r="D340">
        <v>11</v>
      </c>
      <c r="E340">
        <v>1995</v>
      </c>
      <c r="F340">
        <v>30</v>
      </c>
      <c r="G340">
        <v>489.05</v>
      </c>
    </row>
    <row r="341" spans="1:7" x14ac:dyDescent="0.25">
      <c r="A341">
        <v>36</v>
      </c>
      <c r="B341">
        <v>5</v>
      </c>
      <c r="C341">
        <v>0</v>
      </c>
      <c r="D341">
        <v>19</v>
      </c>
      <c r="E341">
        <v>1995</v>
      </c>
      <c r="F341">
        <v>30</v>
      </c>
      <c r="G341">
        <v>495.25</v>
      </c>
    </row>
    <row r="342" spans="1:7" x14ac:dyDescent="0.25">
      <c r="A342">
        <v>21</v>
      </c>
      <c r="B342">
        <v>3</v>
      </c>
      <c r="C342">
        <v>3</v>
      </c>
      <c r="D342">
        <v>11</v>
      </c>
      <c r="E342">
        <v>2009</v>
      </c>
      <c r="F342">
        <v>16</v>
      </c>
      <c r="G342">
        <v>501.55</v>
      </c>
    </row>
    <row r="343" spans="1:7" x14ac:dyDescent="0.25">
      <c r="A343">
        <v>52</v>
      </c>
      <c r="B343">
        <v>34</v>
      </c>
      <c r="C343">
        <v>5</v>
      </c>
      <c r="D343">
        <v>18</v>
      </c>
      <c r="E343">
        <v>1992</v>
      </c>
      <c r="F343">
        <v>33</v>
      </c>
      <c r="G343">
        <v>491.1</v>
      </c>
    </row>
    <row r="344" spans="1:7" x14ac:dyDescent="0.25">
      <c r="A344">
        <v>34</v>
      </c>
      <c r="B344">
        <v>16</v>
      </c>
      <c r="C344">
        <v>0</v>
      </c>
      <c r="D344">
        <v>15</v>
      </c>
      <c r="E344">
        <v>2006</v>
      </c>
      <c r="F344">
        <v>19</v>
      </c>
      <c r="G344">
        <v>491.05</v>
      </c>
    </row>
    <row r="345" spans="1:7" x14ac:dyDescent="0.25">
      <c r="A345">
        <v>61</v>
      </c>
      <c r="B345">
        <v>11</v>
      </c>
      <c r="C345">
        <v>5</v>
      </c>
      <c r="D345">
        <v>13</v>
      </c>
      <c r="E345">
        <v>2001</v>
      </c>
      <c r="F345">
        <v>24</v>
      </c>
      <c r="G345">
        <v>495.05</v>
      </c>
    </row>
    <row r="346" spans="1:7" x14ac:dyDescent="0.25">
      <c r="A346">
        <v>45</v>
      </c>
      <c r="B346">
        <v>6</v>
      </c>
      <c r="C346">
        <v>5</v>
      </c>
      <c r="D346">
        <v>21</v>
      </c>
      <c r="E346">
        <v>1990</v>
      </c>
      <c r="F346">
        <v>35</v>
      </c>
      <c r="G346">
        <v>501.25</v>
      </c>
    </row>
    <row r="347" spans="1:7" x14ac:dyDescent="0.25">
      <c r="A347">
        <v>47</v>
      </c>
      <c r="B347">
        <v>9</v>
      </c>
      <c r="C347">
        <v>5</v>
      </c>
      <c r="D347">
        <v>17</v>
      </c>
      <c r="E347">
        <v>2006</v>
      </c>
      <c r="F347">
        <v>19</v>
      </c>
      <c r="G347">
        <v>498.15</v>
      </c>
    </row>
    <row r="348" spans="1:7" x14ac:dyDescent="0.25">
      <c r="A348">
        <v>46</v>
      </c>
      <c r="B348">
        <v>16</v>
      </c>
      <c r="C348">
        <v>4</v>
      </c>
      <c r="D348">
        <v>17</v>
      </c>
      <c r="E348">
        <v>1992</v>
      </c>
      <c r="F348">
        <v>33</v>
      </c>
      <c r="G348">
        <v>496.15</v>
      </c>
    </row>
    <row r="349" spans="1:7" x14ac:dyDescent="0.25">
      <c r="A349">
        <v>63</v>
      </c>
      <c r="B349">
        <v>25</v>
      </c>
      <c r="C349">
        <v>3</v>
      </c>
      <c r="D349">
        <v>19</v>
      </c>
      <c r="E349">
        <v>2015</v>
      </c>
      <c r="F349">
        <v>10</v>
      </c>
      <c r="G349">
        <v>486.35</v>
      </c>
    </row>
    <row r="350" spans="1:7" x14ac:dyDescent="0.25">
      <c r="A350">
        <v>23</v>
      </c>
      <c r="B350">
        <v>5</v>
      </c>
      <c r="C350">
        <v>2</v>
      </c>
      <c r="D350">
        <v>17</v>
      </c>
      <c r="E350">
        <v>2004</v>
      </c>
      <c r="F350">
        <v>21</v>
      </c>
      <c r="G350">
        <v>499.85</v>
      </c>
    </row>
    <row r="351" spans="1:7" x14ac:dyDescent="0.25">
      <c r="A351">
        <v>52</v>
      </c>
      <c r="B351">
        <v>27</v>
      </c>
      <c r="C351">
        <v>2</v>
      </c>
      <c r="D351">
        <v>23</v>
      </c>
      <c r="E351">
        <v>2025</v>
      </c>
      <c r="F351">
        <v>0</v>
      </c>
      <c r="G351">
        <v>485.65</v>
      </c>
    </row>
    <row r="352" spans="1:7" x14ac:dyDescent="0.25">
      <c r="A352">
        <v>58</v>
      </c>
      <c r="B352">
        <v>1</v>
      </c>
      <c r="C352">
        <v>0</v>
      </c>
      <c r="D352">
        <v>21</v>
      </c>
      <c r="E352">
        <v>2021</v>
      </c>
      <c r="F352">
        <v>4</v>
      </c>
      <c r="G352">
        <v>489.55</v>
      </c>
    </row>
    <row r="353" spans="1:7" x14ac:dyDescent="0.25">
      <c r="A353">
        <v>54</v>
      </c>
      <c r="B353">
        <v>0</v>
      </c>
      <c r="C353">
        <v>5</v>
      </c>
      <c r="D353">
        <v>24</v>
      </c>
      <c r="E353">
        <v>2021</v>
      </c>
      <c r="F353">
        <v>4</v>
      </c>
      <c r="G353">
        <v>498.3</v>
      </c>
    </row>
    <row r="354" spans="1:7" x14ac:dyDescent="0.25">
      <c r="A354">
        <v>41</v>
      </c>
      <c r="B354">
        <v>23</v>
      </c>
      <c r="C354">
        <v>0</v>
      </c>
      <c r="D354">
        <v>13</v>
      </c>
      <c r="E354">
        <v>1993</v>
      </c>
      <c r="F354">
        <v>32</v>
      </c>
      <c r="G354">
        <v>488.75</v>
      </c>
    </row>
    <row r="355" spans="1:7" x14ac:dyDescent="0.25">
      <c r="A355">
        <v>46</v>
      </c>
      <c r="B355">
        <v>25</v>
      </c>
      <c r="C355">
        <v>4</v>
      </c>
      <c r="D355">
        <v>21</v>
      </c>
      <c r="E355">
        <v>2007</v>
      </c>
      <c r="F355">
        <v>18</v>
      </c>
      <c r="G355">
        <v>492.15</v>
      </c>
    </row>
    <row r="356" spans="1:7" x14ac:dyDescent="0.25">
      <c r="A356">
        <v>63</v>
      </c>
      <c r="B356">
        <v>28</v>
      </c>
      <c r="C356">
        <v>4</v>
      </c>
      <c r="D356">
        <v>23</v>
      </c>
      <c r="E356">
        <v>2008</v>
      </c>
      <c r="F356">
        <v>17</v>
      </c>
      <c r="G356">
        <v>487.85</v>
      </c>
    </row>
    <row r="357" spans="1:7" x14ac:dyDescent="0.25">
      <c r="A357">
        <v>48</v>
      </c>
      <c r="B357">
        <v>20</v>
      </c>
      <c r="C357">
        <v>1</v>
      </c>
      <c r="D357">
        <v>25</v>
      </c>
      <c r="E357">
        <v>2024</v>
      </c>
      <c r="F357">
        <v>1</v>
      </c>
      <c r="G357">
        <v>487.25</v>
      </c>
    </row>
    <row r="358" spans="1:7" x14ac:dyDescent="0.25">
      <c r="A358">
        <v>52</v>
      </c>
      <c r="B358">
        <v>10</v>
      </c>
      <c r="C358">
        <v>4</v>
      </c>
      <c r="D358">
        <v>24</v>
      </c>
      <c r="E358">
        <v>2003</v>
      </c>
      <c r="F358">
        <v>22</v>
      </c>
      <c r="G358">
        <v>496</v>
      </c>
    </row>
    <row r="359" spans="1:7" x14ac:dyDescent="0.25">
      <c r="A359">
        <v>50</v>
      </c>
      <c r="B359">
        <v>32</v>
      </c>
      <c r="C359">
        <v>1</v>
      </c>
      <c r="D359">
        <v>23</v>
      </c>
      <c r="E359">
        <v>2022</v>
      </c>
      <c r="F359">
        <v>3</v>
      </c>
      <c r="G359">
        <v>483.35</v>
      </c>
    </row>
    <row r="360" spans="1:7" x14ac:dyDescent="0.25">
      <c r="A360">
        <v>38</v>
      </c>
      <c r="B360">
        <v>10</v>
      </c>
      <c r="C360">
        <v>3</v>
      </c>
      <c r="D360">
        <v>11</v>
      </c>
      <c r="E360">
        <v>2003</v>
      </c>
      <c r="F360">
        <v>22</v>
      </c>
      <c r="G360">
        <v>496.65</v>
      </c>
    </row>
    <row r="361" spans="1:7" x14ac:dyDescent="0.25">
      <c r="A361">
        <v>49</v>
      </c>
      <c r="B361">
        <v>31</v>
      </c>
      <c r="C361">
        <v>0</v>
      </c>
      <c r="D361">
        <v>18</v>
      </c>
      <c r="E361">
        <v>2023</v>
      </c>
      <c r="F361">
        <v>2</v>
      </c>
      <c r="G361">
        <v>482</v>
      </c>
    </row>
    <row r="362" spans="1:7" x14ac:dyDescent="0.25">
      <c r="A362">
        <v>40</v>
      </c>
      <c r="B362">
        <v>22</v>
      </c>
      <c r="C362">
        <v>3</v>
      </c>
      <c r="D362">
        <v>22</v>
      </c>
      <c r="E362">
        <v>1993</v>
      </c>
      <c r="F362">
        <v>32</v>
      </c>
      <c r="G362">
        <v>494.2</v>
      </c>
    </row>
    <row r="363" spans="1:7" x14ac:dyDescent="0.25">
      <c r="A363">
        <v>50</v>
      </c>
      <c r="B363">
        <v>32</v>
      </c>
      <c r="C363">
        <v>4</v>
      </c>
      <c r="D363">
        <v>13</v>
      </c>
      <c r="E363">
        <v>2013</v>
      </c>
      <c r="F363">
        <v>12</v>
      </c>
      <c r="G363">
        <v>488.25</v>
      </c>
    </row>
    <row r="364" spans="1:7" x14ac:dyDescent="0.25">
      <c r="A364">
        <v>20</v>
      </c>
      <c r="B364">
        <v>2</v>
      </c>
      <c r="C364">
        <v>3</v>
      </c>
      <c r="D364">
        <v>22</v>
      </c>
      <c r="E364">
        <v>2018</v>
      </c>
      <c r="F364">
        <v>7</v>
      </c>
      <c r="G364">
        <v>501.7</v>
      </c>
    </row>
    <row r="365" spans="1:7" x14ac:dyDescent="0.25">
      <c r="A365">
        <v>35</v>
      </c>
      <c r="B365">
        <v>17</v>
      </c>
      <c r="C365">
        <v>3</v>
      </c>
      <c r="D365">
        <v>18</v>
      </c>
      <c r="E365">
        <v>2008</v>
      </c>
      <c r="F365">
        <v>17</v>
      </c>
      <c r="G365">
        <v>495</v>
      </c>
    </row>
    <row r="366" spans="1:7" x14ac:dyDescent="0.25">
      <c r="A366">
        <v>42</v>
      </c>
      <c r="B366">
        <v>23</v>
      </c>
      <c r="C366">
        <v>3</v>
      </c>
      <c r="D366">
        <v>18</v>
      </c>
      <c r="E366">
        <v>1995</v>
      </c>
      <c r="F366">
        <v>30</v>
      </c>
      <c r="G366">
        <v>493.1</v>
      </c>
    </row>
    <row r="367" spans="1:7" x14ac:dyDescent="0.25">
      <c r="A367">
        <v>59</v>
      </c>
      <c r="B367">
        <v>21</v>
      </c>
      <c r="C367">
        <v>4</v>
      </c>
      <c r="D367">
        <v>23</v>
      </c>
      <c r="E367">
        <v>2022</v>
      </c>
      <c r="F367">
        <v>3</v>
      </c>
      <c r="G367">
        <v>489.35</v>
      </c>
    </row>
    <row r="368" spans="1:7" x14ac:dyDescent="0.25">
      <c r="A368">
        <v>48</v>
      </c>
      <c r="B368">
        <v>4</v>
      </c>
      <c r="C368">
        <v>5</v>
      </c>
      <c r="D368">
        <v>15</v>
      </c>
      <c r="E368">
        <v>2008</v>
      </c>
      <c r="F368">
        <v>17</v>
      </c>
      <c r="G368">
        <v>499.15</v>
      </c>
    </row>
    <row r="369" spans="1:7" x14ac:dyDescent="0.25">
      <c r="A369">
        <v>20</v>
      </c>
      <c r="B369">
        <v>2</v>
      </c>
      <c r="C369">
        <v>3</v>
      </c>
      <c r="D369">
        <v>23</v>
      </c>
      <c r="E369">
        <v>1990</v>
      </c>
      <c r="F369">
        <v>35</v>
      </c>
      <c r="G369">
        <v>504.55</v>
      </c>
    </row>
    <row r="370" spans="1:7" x14ac:dyDescent="0.25">
      <c r="A370">
        <v>57</v>
      </c>
      <c r="B370">
        <v>35</v>
      </c>
      <c r="C370">
        <v>1</v>
      </c>
      <c r="D370">
        <v>22</v>
      </c>
      <c r="E370">
        <v>1994</v>
      </c>
      <c r="F370">
        <v>31</v>
      </c>
      <c r="G370">
        <v>483.8</v>
      </c>
    </row>
    <row r="371" spans="1:7" x14ac:dyDescent="0.25">
      <c r="A371">
        <v>63</v>
      </c>
      <c r="B371">
        <v>19</v>
      </c>
      <c r="C371">
        <v>4</v>
      </c>
      <c r="D371">
        <v>23</v>
      </c>
      <c r="E371">
        <v>2016</v>
      </c>
      <c r="F371">
        <v>9</v>
      </c>
      <c r="G371">
        <v>489.75</v>
      </c>
    </row>
    <row r="372" spans="1:7" x14ac:dyDescent="0.25">
      <c r="A372">
        <v>41</v>
      </c>
      <c r="B372">
        <v>18</v>
      </c>
      <c r="C372">
        <v>3</v>
      </c>
      <c r="D372">
        <v>11</v>
      </c>
      <c r="E372">
        <v>2005</v>
      </c>
      <c r="F372">
        <v>20</v>
      </c>
      <c r="G372">
        <v>493.45</v>
      </c>
    </row>
    <row r="373" spans="1:7" x14ac:dyDescent="0.25">
      <c r="A373">
        <v>49</v>
      </c>
      <c r="B373">
        <v>31</v>
      </c>
      <c r="C373">
        <v>5</v>
      </c>
      <c r="D373">
        <v>23</v>
      </c>
      <c r="E373">
        <v>1995</v>
      </c>
      <c r="F373">
        <v>30</v>
      </c>
      <c r="G373">
        <v>492.55</v>
      </c>
    </row>
    <row r="374" spans="1:7" x14ac:dyDescent="0.25">
      <c r="A374">
        <v>64</v>
      </c>
      <c r="B374">
        <v>16</v>
      </c>
      <c r="C374">
        <v>4</v>
      </c>
      <c r="D374">
        <v>20</v>
      </c>
      <c r="E374">
        <v>2002</v>
      </c>
      <c r="F374">
        <v>23</v>
      </c>
      <c r="G374">
        <v>491.7</v>
      </c>
    </row>
    <row r="375" spans="1:7" x14ac:dyDescent="0.25">
      <c r="A375">
        <v>39</v>
      </c>
      <c r="B375">
        <v>21</v>
      </c>
      <c r="C375">
        <v>2</v>
      </c>
      <c r="D375">
        <v>17</v>
      </c>
      <c r="E375">
        <v>2024</v>
      </c>
      <c r="F375">
        <v>1</v>
      </c>
      <c r="G375">
        <v>489.85</v>
      </c>
    </row>
    <row r="376" spans="1:7" x14ac:dyDescent="0.25">
      <c r="A376">
        <v>40</v>
      </c>
      <c r="B376">
        <v>8</v>
      </c>
      <c r="C376">
        <v>5</v>
      </c>
      <c r="D376">
        <v>22</v>
      </c>
      <c r="E376">
        <v>2008</v>
      </c>
      <c r="F376">
        <v>17</v>
      </c>
      <c r="G376">
        <v>499.9</v>
      </c>
    </row>
    <row r="377" spans="1:7" x14ac:dyDescent="0.25">
      <c r="A377">
        <v>19</v>
      </c>
      <c r="B377">
        <v>1</v>
      </c>
      <c r="C377">
        <v>1</v>
      </c>
      <c r="D377">
        <v>20</v>
      </c>
      <c r="E377">
        <v>2001</v>
      </c>
      <c r="F377">
        <v>24</v>
      </c>
      <c r="G377">
        <v>500.8</v>
      </c>
    </row>
    <row r="378" spans="1:7" x14ac:dyDescent="0.25">
      <c r="A378">
        <v>44</v>
      </c>
      <c r="B378">
        <v>1</v>
      </c>
      <c r="C378">
        <v>3</v>
      </c>
      <c r="D378">
        <v>15</v>
      </c>
      <c r="E378">
        <v>2005</v>
      </c>
      <c r="F378">
        <v>20</v>
      </c>
      <c r="G378">
        <v>498.15</v>
      </c>
    </row>
    <row r="379" spans="1:7" x14ac:dyDescent="0.25">
      <c r="A379">
        <v>59</v>
      </c>
      <c r="B379">
        <v>8</v>
      </c>
      <c r="C379">
        <v>2</v>
      </c>
      <c r="D379">
        <v>18</v>
      </c>
      <c r="E379">
        <v>1999</v>
      </c>
      <c r="F379">
        <v>26</v>
      </c>
      <c r="G379">
        <v>492.3</v>
      </c>
    </row>
    <row r="380" spans="1:7" x14ac:dyDescent="0.25">
      <c r="A380">
        <v>19</v>
      </c>
      <c r="B380">
        <v>1</v>
      </c>
      <c r="C380">
        <v>2</v>
      </c>
      <c r="D380">
        <v>19</v>
      </c>
      <c r="E380">
        <v>2014</v>
      </c>
      <c r="F380">
        <v>11</v>
      </c>
      <c r="G380">
        <v>500.95</v>
      </c>
    </row>
    <row r="381" spans="1:7" x14ac:dyDescent="0.25">
      <c r="A381">
        <v>43</v>
      </c>
      <c r="B381">
        <v>25</v>
      </c>
      <c r="C381">
        <v>4</v>
      </c>
      <c r="D381">
        <v>21</v>
      </c>
      <c r="E381">
        <v>2009</v>
      </c>
      <c r="F381">
        <v>16</v>
      </c>
      <c r="G381">
        <v>492.55</v>
      </c>
    </row>
    <row r="382" spans="1:7" x14ac:dyDescent="0.25">
      <c r="A382">
        <v>34</v>
      </c>
      <c r="B382">
        <v>16</v>
      </c>
      <c r="C382">
        <v>2</v>
      </c>
      <c r="D382">
        <v>24</v>
      </c>
      <c r="E382">
        <v>2020</v>
      </c>
      <c r="F382">
        <v>5</v>
      </c>
      <c r="G382">
        <v>493.1</v>
      </c>
    </row>
    <row r="383" spans="1:7" x14ac:dyDescent="0.25">
      <c r="A383">
        <v>57</v>
      </c>
      <c r="B383">
        <v>0</v>
      </c>
      <c r="C383">
        <v>1</v>
      </c>
      <c r="D383">
        <v>17</v>
      </c>
      <c r="E383">
        <v>1993</v>
      </c>
      <c r="F383">
        <v>32</v>
      </c>
      <c r="G383">
        <v>494.15</v>
      </c>
    </row>
    <row r="384" spans="1:7" x14ac:dyDescent="0.25">
      <c r="A384">
        <v>50</v>
      </c>
      <c r="B384">
        <v>24</v>
      </c>
      <c r="C384">
        <v>1</v>
      </c>
      <c r="D384">
        <v>24</v>
      </c>
      <c r="E384">
        <v>2012</v>
      </c>
      <c r="F384">
        <v>13</v>
      </c>
      <c r="G384">
        <v>486.8</v>
      </c>
    </row>
    <row r="385" spans="1:7" x14ac:dyDescent="0.25">
      <c r="A385">
        <v>26</v>
      </c>
      <c r="B385">
        <v>8</v>
      </c>
      <c r="C385">
        <v>0</v>
      </c>
      <c r="D385">
        <v>23</v>
      </c>
      <c r="E385">
        <v>1991</v>
      </c>
      <c r="F385">
        <v>34</v>
      </c>
      <c r="G385">
        <v>496.95</v>
      </c>
    </row>
    <row r="386" spans="1:7" x14ac:dyDescent="0.25">
      <c r="A386">
        <v>60</v>
      </c>
      <c r="B386">
        <v>24</v>
      </c>
      <c r="C386">
        <v>1</v>
      </c>
      <c r="D386">
        <v>25</v>
      </c>
      <c r="E386">
        <v>2011</v>
      </c>
      <c r="F386">
        <v>14</v>
      </c>
      <c r="G386">
        <v>484.95</v>
      </c>
    </row>
    <row r="387" spans="1:7" x14ac:dyDescent="0.25">
      <c r="A387">
        <v>65</v>
      </c>
      <c r="B387">
        <v>38</v>
      </c>
      <c r="C387">
        <v>5</v>
      </c>
      <c r="D387">
        <v>17</v>
      </c>
      <c r="E387">
        <v>1997</v>
      </c>
      <c r="F387">
        <v>28</v>
      </c>
      <c r="G387">
        <v>486.75</v>
      </c>
    </row>
    <row r="388" spans="1:7" x14ac:dyDescent="0.25">
      <c r="A388">
        <v>56</v>
      </c>
      <c r="B388">
        <v>34</v>
      </c>
      <c r="C388">
        <v>2</v>
      </c>
      <c r="D388">
        <v>11</v>
      </c>
      <c r="E388">
        <v>1996</v>
      </c>
      <c r="F388">
        <v>29</v>
      </c>
      <c r="G388">
        <v>485.05</v>
      </c>
    </row>
    <row r="389" spans="1:7" x14ac:dyDescent="0.25">
      <c r="A389">
        <v>46</v>
      </c>
      <c r="B389">
        <v>2</v>
      </c>
      <c r="C389">
        <v>1</v>
      </c>
      <c r="D389">
        <v>25</v>
      </c>
      <c r="E389">
        <v>2003</v>
      </c>
      <c r="F389">
        <v>22</v>
      </c>
      <c r="G389">
        <v>495.15</v>
      </c>
    </row>
    <row r="390" spans="1:7" x14ac:dyDescent="0.25">
      <c r="A390">
        <v>59</v>
      </c>
      <c r="B390">
        <v>36</v>
      </c>
      <c r="C390">
        <v>4</v>
      </c>
      <c r="D390">
        <v>14</v>
      </c>
      <c r="E390">
        <v>1992</v>
      </c>
      <c r="F390">
        <v>33</v>
      </c>
      <c r="G390">
        <v>487.4</v>
      </c>
    </row>
    <row r="391" spans="1:7" x14ac:dyDescent="0.25">
      <c r="A391">
        <v>43</v>
      </c>
      <c r="B391">
        <v>25</v>
      </c>
      <c r="C391">
        <v>0</v>
      </c>
      <c r="D391">
        <v>12</v>
      </c>
      <c r="E391">
        <v>2005</v>
      </c>
      <c r="F391">
        <v>20</v>
      </c>
      <c r="G391">
        <v>486.5</v>
      </c>
    </row>
    <row r="392" spans="1:7" x14ac:dyDescent="0.25">
      <c r="A392">
        <v>52</v>
      </c>
      <c r="B392">
        <v>34</v>
      </c>
      <c r="C392">
        <v>2</v>
      </c>
      <c r="D392">
        <v>12</v>
      </c>
      <c r="E392">
        <v>2008</v>
      </c>
      <c r="F392">
        <v>17</v>
      </c>
      <c r="G392">
        <v>484.7</v>
      </c>
    </row>
    <row r="393" spans="1:7" x14ac:dyDescent="0.25">
      <c r="A393">
        <v>42</v>
      </c>
      <c r="B393">
        <v>24</v>
      </c>
      <c r="C393">
        <v>0</v>
      </c>
      <c r="D393">
        <v>12</v>
      </c>
      <c r="E393">
        <v>2007</v>
      </c>
      <c r="F393">
        <v>18</v>
      </c>
      <c r="G393">
        <v>486.8</v>
      </c>
    </row>
    <row r="394" spans="1:7" x14ac:dyDescent="0.25">
      <c r="A394">
        <v>41</v>
      </c>
      <c r="B394">
        <v>11</v>
      </c>
      <c r="C394">
        <v>2</v>
      </c>
      <c r="D394">
        <v>14</v>
      </c>
      <c r="E394">
        <v>2005</v>
      </c>
      <c r="F394">
        <v>20</v>
      </c>
      <c r="G394">
        <v>494.2</v>
      </c>
    </row>
    <row r="395" spans="1:7" x14ac:dyDescent="0.25">
      <c r="A395">
        <v>30</v>
      </c>
      <c r="B395">
        <v>12</v>
      </c>
      <c r="C395">
        <v>4</v>
      </c>
      <c r="D395">
        <v>24</v>
      </c>
      <c r="E395">
        <v>1997</v>
      </c>
      <c r="F395">
        <v>28</v>
      </c>
      <c r="G395">
        <v>500.4</v>
      </c>
    </row>
    <row r="396" spans="1:7" x14ac:dyDescent="0.25">
      <c r="A396">
        <v>24</v>
      </c>
      <c r="B396">
        <v>6</v>
      </c>
      <c r="C396">
        <v>0</v>
      </c>
      <c r="D396">
        <v>11</v>
      </c>
      <c r="E396">
        <v>2022</v>
      </c>
      <c r="F396">
        <v>3</v>
      </c>
      <c r="G396">
        <v>494.25</v>
      </c>
    </row>
    <row r="397" spans="1:7" x14ac:dyDescent="0.25">
      <c r="A397">
        <v>53</v>
      </c>
      <c r="B397">
        <v>16</v>
      </c>
      <c r="C397">
        <v>3</v>
      </c>
      <c r="D397">
        <v>25</v>
      </c>
      <c r="E397">
        <v>2001</v>
      </c>
      <c r="F397">
        <v>24</v>
      </c>
      <c r="G397">
        <v>492.75</v>
      </c>
    </row>
    <row r="398" spans="1:7" x14ac:dyDescent="0.25">
      <c r="A398">
        <v>62</v>
      </c>
      <c r="B398">
        <v>9</v>
      </c>
      <c r="C398">
        <v>5</v>
      </c>
      <c r="D398">
        <v>14</v>
      </c>
      <c r="E398">
        <v>2000</v>
      </c>
      <c r="F398">
        <v>25</v>
      </c>
      <c r="G398">
        <v>495.6</v>
      </c>
    </row>
    <row r="399" spans="1:7" x14ac:dyDescent="0.25">
      <c r="A399">
        <v>37</v>
      </c>
      <c r="B399">
        <v>11</v>
      </c>
      <c r="C399">
        <v>5</v>
      </c>
      <c r="D399">
        <v>12</v>
      </c>
      <c r="E399">
        <v>1994</v>
      </c>
      <c r="F399">
        <v>31</v>
      </c>
      <c r="G399">
        <v>500.5</v>
      </c>
    </row>
    <row r="400" spans="1:7" x14ac:dyDescent="0.25">
      <c r="A400">
        <v>18</v>
      </c>
      <c r="B400">
        <v>0</v>
      </c>
      <c r="C400">
        <v>2</v>
      </c>
      <c r="D400">
        <v>15</v>
      </c>
      <c r="E400">
        <v>2016</v>
      </c>
      <c r="F400">
        <v>9</v>
      </c>
      <c r="G400">
        <v>501.05</v>
      </c>
    </row>
    <row r="401" spans="1:7" x14ac:dyDescent="0.25">
      <c r="A401">
        <v>25</v>
      </c>
      <c r="B401">
        <v>7</v>
      </c>
      <c r="C401">
        <v>3</v>
      </c>
      <c r="D401">
        <v>13</v>
      </c>
      <c r="E401">
        <v>2001</v>
      </c>
      <c r="F401">
        <v>24</v>
      </c>
      <c r="G401">
        <v>500.45</v>
      </c>
    </row>
    <row r="402" spans="1:7" x14ac:dyDescent="0.25">
      <c r="A402">
        <v>63</v>
      </c>
      <c r="B402">
        <v>18</v>
      </c>
      <c r="C402">
        <v>0</v>
      </c>
      <c r="D402">
        <v>25</v>
      </c>
      <c r="E402">
        <v>2006</v>
      </c>
      <c r="F402">
        <v>19</v>
      </c>
      <c r="G402">
        <v>485.15</v>
      </c>
    </row>
    <row r="403" spans="1:7" x14ac:dyDescent="0.25">
      <c r="A403">
        <v>33</v>
      </c>
      <c r="B403">
        <v>7</v>
      </c>
      <c r="C403">
        <v>3</v>
      </c>
      <c r="D403">
        <v>22</v>
      </c>
      <c r="E403">
        <v>1995</v>
      </c>
      <c r="F403">
        <v>30</v>
      </c>
      <c r="G403">
        <v>499.9</v>
      </c>
    </row>
    <row r="404" spans="1:7" x14ac:dyDescent="0.25">
      <c r="A404">
        <v>31</v>
      </c>
      <c r="B404">
        <v>13</v>
      </c>
      <c r="C404">
        <v>3</v>
      </c>
      <c r="D404">
        <v>18</v>
      </c>
      <c r="E404">
        <v>2022</v>
      </c>
      <c r="F404">
        <v>3</v>
      </c>
      <c r="G404">
        <v>495.6</v>
      </c>
    </row>
    <row r="405" spans="1:7" x14ac:dyDescent="0.25">
      <c r="A405">
        <v>29</v>
      </c>
      <c r="B405">
        <v>11</v>
      </c>
      <c r="C405">
        <v>0</v>
      </c>
      <c r="D405">
        <v>14</v>
      </c>
      <c r="E405">
        <v>1994</v>
      </c>
      <c r="F405">
        <v>31</v>
      </c>
      <c r="G405">
        <v>494.7</v>
      </c>
    </row>
    <row r="406" spans="1:7" x14ac:dyDescent="0.25">
      <c r="A406">
        <v>40</v>
      </c>
      <c r="B406">
        <v>16</v>
      </c>
      <c r="C406">
        <v>4</v>
      </c>
      <c r="D406">
        <v>11</v>
      </c>
      <c r="E406">
        <v>2017</v>
      </c>
      <c r="F406">
        <v>8</v>
      </c>
      <c r="G406">
        <v>494.55</v>
      </c>
    </row>
    <row r="407" spans="1:7" x14ac:dyDescent="0.25">
      <c r="A407">
        <v>32</v>
      </c>
      <c r="B407">
        <v>14</v>
      </c>
      <c r="C407">
        <v>3</v>
      </c>
      <c r="D407">
        <v>11</v>
      </c>
      <c r="E407">
        <v>2003</v>
      </c>
      <c r="F407">
        <v>22</v>
      </c>
      <c r="G407">
        <v>496.65</v>
      </c>
    </row>
    <row r="408" spans="1:7" x14ac:dyDescent="0.25">
      <c r="A408">
        <v>45</v>
      </c>
      <c r="B408">
        <v>27</v>
      </c>
      <c r="C408">
        <v>3</v>
      </c>
      <c r="D408">
        <v>22</v>
      </c>
      <c r="E408">
        <v>1994</v>
      </c>
      <c r="F408">
        <v>31</v>
      </c>
      <c r="G408">
        <v>491.6</v>
      </c>
    </row>
    <row r="409" spans="1:7" x14ac:dyDescent="0.25">
      <c r="A409">
        <v>51</v>
      </c>
      <c r="B409">
        <v>15</v>
      </c>
      <c r="C409">
        <v>4</v>
      </c>
      <c r="D409">
        <v>20</v>
      </c>
      <c r="E409">
        <v>2022</v>
      </c>
      <c r="F409">
        <v>3</v>
      </c>
      <c r="G409">
        <v>492.6</v>
      </c>
    </row>
    <row r="410" spans="1:7" x14ac:dyDescent="0.25">
      <c r="A410">
        <v>19</v>
      </c>
      <c r="B410">
        <v>1</v>
      </c>
      <c r="C410">
        <v>3</v>
      </c>
      <c r="D410">
        <v>13</v>
      </c>
      <c r="E410">
        <v>2008</v>
      </c>
      <c r="F410">
        <v>17</v>
      </c>
      <c r="G410">
        <v>502.75</v>
      </c>
    </row>
    <row r="411" spans="1:7" x14ac:dyDescent="0.25">
      <c r="A411">
        <v>49</v>
      </c>
      <c r="B411">
        <v>7</v>
      </c>
      <c r="C411">
        <v>3</v>
      </c>
      <c r="D411">
        <v>25</v>
      </c>
      <c r="E411">
        <v>2011</v>
      </c>
      <c r="F411">
        <v>14</v>
      </c>
      <c r="G411">
        <v>495.25</v>
      </c>
    </row>
    <row r="412" spans="1:7" x14ac:dyDescent="0.25">
      <c r="A412">
        <v>40</v>
      </c>
      <c r="B412">
        <v>22</v>
      </c>
      <c r="C412">
        <v>3</v>
      </c>
      <c r="D412">
        <v>19</v>
      </c>
      <c r="E412">
        <v>1994</v>
      </c>
      <c r="F412">
        <v>31</v>
      </c>
      <c r="G412">
        <v>493.95</v>
      </c>
    </row>
    <row r="413" spans="1:7" x14ac:dyDescent="0.25">
      <c r="A413">
        <v>39</v>
      </c>
      <c r="B413">
        <v>17</v>
      </c>
      <c r="C413">
        <v>5</v>
      </c>
      <c r="D413">
        <v>17</v>
      </c>
      <c r="E413">
        <v>1991</v>
      </c>
      <c r="F413">
        <v>34</v>
      </c>
      <c r="G413">
        <v>498.85</v>
      </c>
    </row>
    <row r="414" spans="1:7" x14ac:dyDescent="0.25">
      <c r="A414">
        <v>42</v>
      </c>
      <c r="B414">
        <v>24</v>
      </c>
      <c r="C414">
        <v>1</v>
      </c>
      <c r="D414">
        <v>12</v>
      </c>
      <c r="E414">
        <v>2019</v>
      </c>
      <c r="F414">
        <v>6</v>
      </c>
      <c r="G414">
        <v>487.1</v>
      </c>
    </row>
    <row r="415" spans="1:7" x14ac:dyDescent="0.25">
      <c r="A415">
        <v>39</v>
      </c>
      <c r="B415">
        <v>11</v>
      </c>
      <c r="C415">
        <v>4</v>
      </c>
      <c r="D415">
        <v>25</v>
      </c>
      <c r="E415">
        <v>1993</v>
      </c>
      <c r="F415">
        <v>32</v>
      </c>
      <c r="G415">
        <v>499.35</v>
      </c>
    </row>
    <row r="416" spans="1:7" x14ac:dyDescent="0.25">
      <c r="A416">
        <v>39</v>
      </c>
      <c r="B416">
        <v>14</v>
      </c>
      <c r="C416">
        <v>3</v>
      </c>
      <c r="D416">
        <v>23</v>
      </c>
      <c r="E416">
        <v>2022</v>
      </c>
      <c r="F416">
        <v>3</v>
      </c>
      <c r="G416">
        <v>493.95</v>
      </c>
    </row>
    <row r="417" spans="1:7" x14ac:dyDescent="0.25">
      <c r="A417">
        <v>59</v>
      </c>
      <c r="B417">
        <v>25</v>
      </c>
      <c r="C417">
        <v>5</v>
      </c>
      <c r="D417">
        <v>19</v>
      </c>
      <c r="E417">
        <v>2002</v>
      </c>
      <c r="F417">
        <v>23</v>
      </c>
      <c r="G417">
        <v>491.45</v>
      </c>
    </row>
    <row r="418" spans="1:7" x14ac:dyDescent="0.25">
      <c r="A418">
        <v>23</v>
      </c>
      <c r="B418">
        <v>5</v>
      </c>
      <c r="C418">
        <v>4</v>
      </c>
      <c r="D418">
        <v>20</v>
      </c>
      <c r="E418">
        <v>2009</v>
      </c>
      <c r="F418">
        <v>16</v>
      </c>
      <c r="G418">
        <v>502.5</v>
      </c>
    </row>
    <row r="419" spans="1:7" x14ac:dyDescent="0.25">
      <c r="A419">
        <v>32</v>
      </c>
      <c r="B419">
        <v>14</v>
      </c>
      <c r="C419">
        <v>2</v>
      </c>
      <c r="D419">
        <v>12</v>
      </c>
      <c r="E419">
        <v>1996</v>
      </c>
      <c r="F419">
        <v>29</v>
      </c>
      <c r="G419">
        <v>495.9</v>
      </c>
    </row>
    <row r="420" spans="1:7" x14ac:dyDescent="0.25">
      <c r="A420">
        <v>60</v>
      </c>
      <c r="B420">
        <v>31</v>
      </c>
      <c r="C420">
        <v>2</v>
      </c>
      <c r="D420">
        <v>13</v>
      </c>
      <c r="E420">
        <v>2004</v>
      </c>
      <c r="F420">
        <v>21</v>
      </c>
      <c r="G420">
        <v>484.45</v>
      </c>
    </row>
    <row r="421" spans="1:7" x14ac:dyDescent="0.25">
      <c r="A421">
        <v>54</v>
      </c>
      <c r="B421">
        <v>9</v>
      </c>
      <c r="C421">
        <v>3</v>
      </c>
      <c r="D421">
        <v>21</v>
      </c>
      <c r="E421">
        <v>2012</v>
      </c>
      <c r="F421">
        <v>13</v>
      </c>
      <c r="G421">
        <v>493.35</v>
      </c>
    </row>
    <row r="422" spans="1:7" x14ac:dyDescent="0.25">
      <c r="A422">
        <v>50</v>
      </c>
      <c r="B422">
        <v>15</v>
      </c>
      <c r="C422">
        <v>5</v>
      </c>
      <c r="D422">
        <v>23</v>
      </c>
      <c r="E422">
        <v>2003</v>
      </c>
      <c r="F422">
        <v>22</v>
      </c>
      <c r="G422">
        <v>496.35</v>
      </c>
    </row>
    <row r="423" spans="1:7" x14ac:dyDescent="0.25">
      <c r="A423">
        <v>25</v>
      </c>
      <c r="B423">
        <v>6</v>
      </c>
      <c r="C423">
        <v>5</v>
      </c>
      <c r="D423">
        <v>20</v>
      </c>
      <c r="E423">
        <v>2012</v>
      </c>
      <c r="F423">
        <v>13</v>
      </c>
      <c r="G423">
        <v>503</v>
      </c>
    </row>
    <row r="424" spans="1:7" x14ac:dyDescent="0.25">
      <c r="A424">
        <v>61</v>
      </c>
      <c r="B424">
        <v>16</v>
      </c>
      <c r="C424">
        <v>4</v>
      </c>
      <c r="D424">
        <v>24</v>
      </c>
      <c r="E424">
        <v>2008</v>
      </c>
      <c r="F424">
        <v>17</v>
      </c>
      <c r="G424">
        <v>491.9</v>
      </c>
    </row>
    <row r="425" spans="1:7" x14ac:dyDescent="0.25">
      <c r="A425">
        <v>61</v>
      </c>
      <c r="B425">
        <v>22</v>
      </c>
      <c r="C425">
        <v>4</v>
      </c>
      <c r="D425">
        <v>12</v>
      </c>
      <c r="E425">
        <v>2018</v>
      </c>
      <c r="F425">
        <v>7</v>
      </c>
      <c r="G425">
        <v>488.5</v>
      </c>
    </row>
    <row r="426" spans="1:7" x14ac:dyDescent="0.25">
      <c r="A426">
        <v>22</v>
      </c>
      <c r="B426">
        <v>4</v>
      </c>
      <c r="C426">
        <v>5</v>
      </c>
      <c r="D426">
        <v>13</v>
      </c>
      <c r="E426">
        <v>2009</v>
      </c>
      <c r="F426">
        <v>16</v>
      </c>
      <c r="G426">
        <v>504.15</v>
      </c>
    </row>
    <row r="427" spans="1:7" x14ac:dyDescent="0.25">
      <c r="A427">
        <v>56</v>
      </c>
      <c r="B427">
        <v>20</v>
      </c>
      <c r="C427">
        <v>4</v>
      </c>
      <c r="D427">
        <v>16</v>
      </c>
      <c r="E427">
        <v>2018</v>
      </c>
      <c r="F427">
        <v>7</v>
      </c>
      <c r="G427">
        <v>490.3</v>
      </c>
    </row>
    <row r="428" spans="1:7" x14ac:dyDescent="0.25">
      <c r="A428">
        <v>21</v>
      </c>
      <c r="B428">
        <v>3</v>
      </c>
      <c r="C428">
        <v>5</v>
      </c>
      <c r="D428">
        <v>19</v>
      </c>
      <c r="E428">
        <v>2013</v>
      </c>
      <c r="F428">
        <v>12</v>
      </c>
      <c r="G428">
        <v>504.55</v>
      </c>
    </row>
    <row r="429" spans="1:7" x14ac:dyDescent="0.25">
      <c r="A429">
        <v>23</v>
      </c>
      <c r="B429">
        <v>5</v>
      </c>
      <c r="C429">
        <v>1</v>
      </c>
      <c r="D429">
        <v>19</v>
      </c>
      <c r="E429">
        <v>2007</v>
      </c>
      <c r="F429">
        <v>18</v>
      </c>
      <c r="G429">
        <v>498.15</v>
      </c>
    </row>
    <row r="430" spans="1:7" x14ac:dyDescent="0.25">
      <c r="A430">
        <v>62</v>
      </c>
      <c r="B430">
        <v>13</v>
      </c>
      <c r="C430">
        <v>5</v>
      </c>
      <c r="D430">
        <v>17</v>
      </c>
      <c r="E430">
        <v>1999</v>
      </c>
      <c r="F430">
        <v>26</v>
      </c>
      <c r="G430">
        <v>494.65</v>
      </c>
    </row>
    <row r="431" spans="1:7" x14ac:dyDescent="0.25">
      <c r="A431">
        <v>49</v>
      </c>
      <c r="B431">
        <v>14</v>
      </c>
      <c r="C431">
        <v>2</v>
      </c>
      <c r="D431">
        <v>22</v>
      </c>
      <c r="E431">
        <v>1997</v>
      </c>
      <c r="F431">
        <v>28</v>
      </c>
      <c r="G431">
        <v>492.9</v>
      </c>
    </row>
    <row r="432" spans="1:7" x14ac:dyDescent="0.25">
      <c r="A432">
        <v>47</v>
      </c>
      <c r="B432">
        <v>6</v>
      </c>
      <c r="C432">
        <v>4</v>
      </c>
      <c r="D432">
        <v>13</v>
      </c>
      <c r="E432">
        <v>2015</v>
      </c>
      <c r="F432">
        <v>10</v>
      </c>
      <c r="G432">
        <v>496.45</v>
      </c>
    </row>
    <row r="433" spans="1:7" x14ac:dyDescent="0.25">
      <c r="A433">
        <v>64</v>
      </c>
      <c r="B433">
        <v>8</v>
      </c>
      <c r="C433">
        <v>5</v>
      </c>
      <c r="D433">
        <v>14</v>
      </c>
      <c r="E433">
        <v>2018</v>
      </c>
      <c r="F433">
        <v>7</v>
      </c>
      <c r="G433">
        <v>493.7</v>
      </c>
    </row>
    <row r="434" spans="1:7" x14ac:dyDescent="0.25">
      <c r="A434">
        <v>52</v>
      </c>
      <c r="B434">
        <v>7</v>
      </c>
      <c r="C434">
        <v>5</v>
      </c>
      <c r="D434">
        <v>16</v>
      </c>
      <c r="E434">
        <v>1999</v>
      </c>
      <c r="F434">
        <v>26</v>
      </c>
      <c r="G434">
        <v>498.4</v>
      </c>
    </row>
    <row r="435" spans="1:7" x14ac:dyDescent="0.25">
      <c r="A435">
        <v>57</v>
      </c>
      <c r="B435">
        <v>22</v>
      </c>
      <c r="C435">
        <v>4</v>
      </c>
      <c r="D435">
        <v>21</v>
      </c>
      <c r="E435">
        <v>2006</v>
      </c>
      <c r="F435">
        <v>19</v>
      </c>
      <c r="G435">
        <v>490.95</v>
      </c>
    </row>
    <row r="436" spans="1:7" x14ac:dyDescent="0.25">
      <c r="A436">
        <v>33</v>
      </c>
      <c r="B436">
        <v>15</v>
      </c>
      <c r="C436">
        <v>1</v>
      </c>
      <c r="D436">
        <v>15</v>
      </c>
      <c r="E436">
        <v>1991</v>
      </c>
      <c r="F436">
        <v>34</v>
      </c>
      <c r="G436">
        <v>494.55</v>
      </c>
    </row>
    <row r="437" spans="1:7" x14ac:dyDescent="0.25">
      <c r="A437">
        <v>30</v>
      </c>
      <c r="B437">
        <v>12</v>
      </c>
      <c r="C437">
        <v>1</v>
      </c>
      <c r="D437">
        <v>12</v>
      </c>
      <c r="E437">
        <v>1995</v>
      </c>
      <c r="F437">
        <v>30</v>
      </c>
      <c r="G437">
        <v>495.5</v>
      </c>
    </row>
    <row r="438" spans="1:7" x14ac:dyDescent="0.25">
      <c r="A438">
        <v>59</v>
      </c>
      <c r="B438">
        <v>30</v>
      </c>
      <c r="C438">
        <v>4</v>
      </c>
      <c r="D438">
        <v>23</v>
      </c>
      <c r="E438">
        <v>1994</v>
      </c>
      <c r="F438">
        <v>31</v>
      </c>
      <c r="G438">
        <v>489.45</v>
      </c>
    </row>
    <row r="439" spans="1:7" x14ac:dyDescent="0.25">
      <c r="A439">
        <v>47</v>
      </c>
      <c r="B439">
        <v>29</v>
      </c>
      <c r="C439">
        <v>0</v>
      </c>
      <c r="D439">
        <v>16</v>
      </c>
      <c r="E439">
        <v>2017</v>
      </c>
      <c r="F439">
        <v>8</v>
      </c>
      <c r="G439">
        <v>483.5</v>
      </c>
    </row>
    <row r="440" spans="1:7" x14ac:dyDescent="0.25">
      <c r="A440">
        <v>36</v>
      </c>
      <c r="B440">
        <v>18</v>
      </c>
      <c r="C440">
        <v>4</v>
      </c>
      <c r="D440">
        <v>13</v>
      </c>
      <c r="E440">
        <v>1994</v>
      </c>
      <c r="F440">
        <v>31</v>
      </c>
      <c r="G440">
        <v>497.15</v>
      </c>
    </row>
    <row r="441" spans="1:7" x14ac:dyDescent="0.25">
      <c r="A441">
        <v>34</v>
      </c>
      <c r="B441">
        <v>16</v>
      </c>
      <c r="C441">
        <v>4</v>
      </c>
      <c r="D441">
        <v>24</v>
      </c>
      <c r="E441">
        <v>2007</v>
      </c>
      <c r="F441">
        <v>18</v>
      </c>
      <c r="G441">
        <v>497.4</v>
      </c>
    </row>
    <row r="442" spans="1:7" x14ac:dyDescent="0.25">
      <c r="A442">
        <v>36</v>
      </c>
      <c r="B442">
        <v>17</v>
      </c>
      <c r="C442">
        <v>1</v>
      </c>
      <c r="D442">
        <v>18</v>
      </c>
      <c r="E442">
        <v>2015</v>
      </c>
      <c r="F442">
        <v>10</v>
      </c>
      <c r="G442">
        <v>491.1</v>
      </c>
    </row>
    <row r="443" spans="1:7" x14ac:dyDescent="0.25">
      <c r="A443">
        <v>45</v>
      </c>
      <c r="B443">
        <v>27</v>
      </c>
      <c r="C443">
        <v>1</v>
      </c>
      <c r="D443">
        <v>12</v>
      </c>
      <c r="E443">
        <v>2009</v>
      </c>
      <c r="F443">
        <v>16</v>
      </c>
      <c r="G443">
        <v>486.6</v>
      </c>
    </row>
    <row r="444" spans="1:7" x14ac:dyDescent="0.25">
      <c r="A444">
        <v>43</v>
      </c>
      <c r="B444">
        <v>16</v>
      </c>
      <c r="C444">
        <v>4</v>
      </c>
      <c r="D444">
        <v>11</v>
      </c>
      <c r="E444">
        <v>2016</v>
      </c>
      <c r="F444">
        <v>9</v>
      </c>
      <c r="G444">
        <v>494.05</v>
      </c>
    </row>
    <row r="445" spans="1:7" x14ac:dyDescent="0.25">
      <c r="A445">
        <v>54</v>
      </c>
      <c r="B445">
        <v>13</v>
      </c>
      <c r="C445">
        <v>4</v>
      </c>
      <c r="D445">
        <v>19</v>
      </c>
      <c r="E445">
        <v>2001</v>
      </c>
      <c r="F445">
        <v>24</v>
      </c>
      <c r="G445">
        <v>494.65</v>
      </c>
    </row>
    <row r="446" spans="1:7" x14ac:dyDescent="0.25">
      <c r="A446">
        <v>43</v>
      </c>
      <c r="B446">
        <v>25</v>
      </c>
      <c r="C446">
        <v>4</v>
      </c>
      <c r="D446">
        <v>24</v>
      </c>
      <c r="E446">
        <v>1996</v>
      </c>
      <c r="F446">
        <v>29</v>
      </c>
      <c r="G446">
        <v>494</v>
      </c>
    </row>
    <row r="447" spans="1:7" x14ac:dyDescent="0.25">
      <c r="A447">
        <v>40</v>
      </c>
      <c r="B447">
        <v>22</v>
      </c>
      <c r="C447">
        <v>1</v>
      </c>
      <c r="D447">
        <v>22</v>
      </c>
      <c r="E447">
        <v>1992</v>
      </c>
      <c r="F447">
        <v>33</v>
      </c>
      <c r="G447">
        <v>491.3</v>
      </c>
    </row>
    <row r="448" spans="1:7" x14ac:dyDescent="0.25">
      <c r="A448">
        <v>26</v>
      </c>
      <c r="B448">
        <v>8</v>
      </c>
      <c r="C448">
        <v>4</v>
      </c>
      <c r="D448">
        <v>13</v>
      </c>
      <c r="E448">
        <v>1999</v>
      </c>
      <c r="F448">
        <v>26</v>
      </c>
      <c r="G448">
        <v>501.65</v>
      </c>
    </row>
    <row r="449" spans="1:7" x14ac:dyDescent="0.25">
      <c r="A449">
        <v>29</v>
      </c>
      <c r="B449">
        <v>11</v>
      </c>
      <c r="C449">
        <v>4</v>
      </c>
      <c r="D449">
        <v>21</v>
      </c>
      <c r="E449">
        <v>2023</v>
      </c>
      <c r="F449">
        <v>2</v>
      </c>
      <c r="G449">
        <v>498.15</v>
      </c>
    </row>
    <row r="450" spans="1:7" x14ac:dyDescent="0.25">
      <c r="A450">
        <v>18</v>
      </c>
      <c r="B450">
        <v>0</v>
      </c>
      <c r="C450">
        <v>3</v>
      </c>
      <c r="D450">
        <v>11</v>
      </c>
      <c r="E450">
        <v>2014</v>
      </c>
      <c r="F450">
        <v>11</v>
      </c>
      <c r="G450">
        <v>502.55</v>
      </c>
    </row>
    <row r="451" spans="1:7" x14ac:dyDescent="0.25">
      <c r="A451">
        <v>18</v>
      </c>
      <c r="B451">
        <v>0</v>
      </c>
      <c r="C451">
        <v>0</v>
      </c>
      <c r="D451">
        <v>17</v>
      </c>
      <c r="E451">
        <v>2024</v>
      </c>
      <c r="F451">
        <v>1</v>
      </c>
      <c r="G451">
        <v>497.35</v>
      </c>
    </row>
    <row r="452" spans="1:7" x14ac:dyDescent="0.25">
      <c r="A452">
        <v>64</v>
      </c>
      <c r="B452">
        <v>39</v>
      </c>
      <c r="C452">
        <v>2</v>
      </c>
      <c r="D452">
        <v>23</v>
      </c>
      <c r="E452">
        <v>2005</v>
      </c>
      <c r="F452">
        <v>20</v>
      </c>
      <c r="G452">
        <v>481.65</v>
      </c>
    </row>
    <row r="453" spans="1:7" x14ac:dyDescent="0.25">
      <c r="A453">
        <v>51</v>
      </c>
      <c r="B453">
        <v>25</v>
      </c>
      <c r="C453">
        <v>0</v>
      </c>
      <c r="D453">
        <v>25</v>
      </c>
      <c r="E453">
        <v>1991</v>
      </c>
      <c r="F453">
        <v>34</v>
      </c>
      <c r="G453">
        <v>486.95</v>
      </c>
    </row>
    <row r="454" spans="1:7" x14ac:dyDescent="0.25">
      <c r="A454">
        <v>49</v>
      </c>
      <c r="B454">
        <v>22</v>
      </c>
      <c r="C454">
        <v>3</v>
      </c>
      <c r="D454">
        <v>20</v>
      </c>
      <c r="E454">
        <v>2013</v>
      </c>
      <c r="F454">
        <v>12</v>
      </c>
      <c r="G454">
        <v>490.3</v>
      </c>
    </row>
    <row r="455" spans="1:7" x14ac:dyDescent="0.25">
      <c r="A455">
        <v>65</v>
      </c>
      <c r="B455">
        <v>38</v>
      </c>
      <c r="C455">
        <v>2</v>
      </c>
      <c r="D455">
        <v>15</v>
      </c>
      <c r="E455">
        <v>1999</v>
      </c>
      <c r="F455">
        <v>26</v>
      </c>
      <c r="G455">
        <v>481.95</v>
      </c>
    </row>
    <row r="456" spans="1:7" x14ac:dyDescent="0.25">
      <c r="A456">
        <v>42</v>
      </c>
      <c r="B456">
        <v>14</v>
      </c>
      <c r="C456">
        <v>4</v>
      </c>
      <c r="D456">
        <v>15</v>
      </c>
      <c r="E456">
        <v>2011</v>
      </c>
      <c r="F456">
        <v>14</v>
      </c>
      <c r="G456">
        <v>495.55</v>
      </c>
    </row>
    <row r="457" spans="1:7" x14ac:dyDescent="0.25">
      <c r="A457">
        <v>57</v>
      </c>
      <c r="B457">
        <v>3</v>
      </c>
      <c r="C457">
        <v>3</v>
      </c>
      <c r="D457">
        <v>24</v>
      </c>
      <c r="E457">
        <v>2015</v>
      </c>
      <c r="F457">
        <v>10</v>
      </c>
      <c r="G457">
        <v>494.4</v>
      </c>
    </row>
    <row r="458" spans="1:7" x14ac:dyDescent="0.25">
      <c r="A458">
        <v>62</v>
      </c>
      <c r="B458">
        <v>28</v>
      </c>
      <c r="C458">
        <v>4</v>
      </c>
      <c r="D458">
        <v>11</v>
      </c>
      <c r="E458">
        <v>2016</v>
      </c>
      <c r="F458">
        <v>9</v>
      </c>
      <c r="G458">
        <v>486.65</v>
      </c>
    </row>
    <row r="459" spans="1:7" x14ac:dyDescent="0.25">
      <c r="A459">
        <v>18</v>
      </c>
      <c r="B459">
        <v>0</v>
      </c>
      <c r="C459">
        <v>1</v>
      </c>
      <c r="D459">
        <v>25</v>
      </c>
      <c r="E459">
        <v>2018</v>
      </c>
      <c r="F459">
        <v>7</v>
      </c>
      <c r="G459">
        <v>499.85</v>
      </c>
    </row>
    <row r="460" spans="1:7" x14ac:dyDescent="0.25">
      <c r="A460">
        <v>33</v>
      </c>
      <c r="B460">
        <v>15</v>
      </c>
      <c r="C460">
        <v>5</v>
      </c>
      <c r="D460">
        <v>25</v>
      </c>
      <c r="E460">
        <v>2009</v>
      </c>
      <c r="F460">
        <v>16</v>
      </c>
      <c r="G460">
        <v>499.25</v>
      </c>
    </row>
    <row r="461" spans="1:7" x14ac:dyDescent="0.25">
      <c r="A461">
        <v>56</v>
      </c>
      <c r="B461">
        <v>12</v>
      </c>
      <c r="C461">
        <v>3</v>
      </c>
      <c r="D461">
        <v>19</v>
      </c>
      <c r="E461">
        <v>2016</v>
      </c>
      <c r="F461">
        <v>9</v>
      </c>
      <c r="G461">
        <v>491.55</v>
      </c>
    </row>
    <row r="462" spans="1:7" x14ac:dyDescent="0.25">
      <c r="A462">
        <v>22</v>
      </c>
      <c r="B462">
        <v>4</v>
      </c>
      <c r="C462">
        <v>1</v>
      </c>
      <c r="D462">
        <v>17</v>
      </c>
      <c r="E462">
        <v>2009</v>
      </c>
      <c r="F462">
        <v>16</v>
      </c>
      <c r="G462">
        <v>498.35</v>
      </c>
    </row>
    <row r="463" spans="1:7" x14ac:dyDescent="0.25">
      <c r="A463">
        <v>39</v>
      </c>
      <c r="B463">
        <v>21</v>
      </c>
      <c r="C463">
        <v>3</v>
      </c>
      <c r="D463">
        <v>18</v>
      </c>
      <c r="E463">
        <v>2008</v>
      </c>
      <c r="F463">
        <v>17</v>
      </c>
      <c r="G463">
        <v>493</v>
      </c>
    </row>
    <row r="464" spans="1:7" x14ac:dyDescent="0.25">
      <c r="A464">
        <v>46</v>
      </c>
      <c r="B464">
        <v>15</v>
      </c>
      <c r="C464">
        <v>3</v>
      </c>
      <c r="D464">
        <v>19</v>
      </c>
      <c r="E464">
        <v>2009</v>
      </c>
      <c r="F464">
        <v>16</v>
      </c>
      <c r="G464">
        <v>493.35</v>
      </c>
    </row>
    <row r="465" spans="1:7" x14ac:dyDescent="0.25">
      <c r="A465">
        <v>20</v>
      </c>
      <c r="B465">
        <v>1</v>
      </c>
      <c r="C465">
        <v>1</v>
      </c>
      <c r="D465">
        <v>16</v>
      </c>
      <c r="E465">
        <v>2024</v>
      </c>
      <c r="F465">
        <v>1</v>
      </c>
      <c r="G465">
        <v>498.1</v>
      </c>
    </row>
    <row r="466" spans="1:7" x14ac:dyDescent="0.25">
      <c r="A466">
        <v>29</v>
      </c>
      <c r="B466">
        <v>11</v>
      </c>
      <c r="C466">
        <v>2</v>
      </c>
      <c r="D466">
        <v>22</v>
      </c>
      <c r="E466">
        <v>1991</v>
      </c>
      <c r="F466">
        <v>34</v>
      </c>
      <c r="G466">
        <v>498.4</v>
      </c>
    </row>
    <row r="467" spans="1:7" x14ac:dyDescent="0.25">
      <c r="A467">
        <v>43</v>
      </c>
      <c r="B467">
        <v>25</v>
      </c>
      <c r="C467">
        <v>0</v>
      </c>
      <c r="D467">
        <v>15</v>
      </c>
      <c r="E467">
        <v>2019</v>
      </c>
      <c r="F467">
        <v>6</v>
      </c>
      <c r="G467">
        <v>485.25</v>
      </c>
    </row>
    <row r="468" spans="1:7" x14ac:dyDescent="0.25">
      <c r="A468">
        <v>33</v>
      </c>
      <c r="B468">
        <v>15</v>
      </c>
      <c r="C468">
        <v>4</v>
      </c>
      <c r="D468">
        <v>16</v>
      </c>
      <c r="E468">
        <v>2023</v>
      </c>
      <c r="F468">
        <v>2</v>
      </c>
      <c r="G468">
        <v>495.9</v>
      </c>
    </row>
    <row r="469" spans="1:7" x14ac:dyDescent="0.25">
      <c r="A469">
        <v>54</v>
      </c>
      <c r="B469">
        <v>12</v>
      </c>
      <c r="C469">
        <v>3</v>
      </c>
      <c r="D469">
        <v>21</v>
      </c>
      <c r="E469">
        <v>2011</v>
      </c>
      <c r="F469">
        <v>14</v>
      </c>
      <c r="G469">
        <v>492.55</v>
      </c>
    </row>
    <row r="470" spans="1:7" x14ac:dyDescent="0.25">
      <c r="A470">
        <v>39</v>
      </c>
      <c r="B470">
        <v>12</v>
      </c>
      <c r="C470">
        <v>4</v>
      </c>
      <c r="D470">
        <v>12</v>
      </c>
      <c r="E470">
        <v>1992</v>
      </c>
      <c r="F470">
        <v>33</v>
      </c>
      <c r="G470">
        <v>498.5</v>
      </c>
    </row>
    <row r="471" spans="1:7" x14ac:dyDescent="0.25">
      <c r="A471">
        <v>46</v>
      </c>
      <c r="B471">
        <v>17</v>
      </c>
      <c r="C471">
        <v>5</v>
      </c>
      <c r="D471">
        <v>14</v>
      </c>
      <c r="E471">
        <v>1995</v>
      </c>
      <c r="F471">
        <v>30</v>
      </c>
      <c r="G471">
        <v>496.9</v>
      </c>
    </row>
    <row r="472" spans="1:7" x14ac:dyDescent="0.25">
      <c r="A472">
        <v>31</v>
      </c>
      <c r="B472">
        <v>13</v>
      </c>
      <c r="C472">
        <v>1</v>
      </c>
      <c r="D472">
        <v>13</v>
      </c>
      <c r="E472">
        <v>2004</v>
      </c>
      <c r="F472">
        <v>21</v>
      </c>
      <c r="G472">
        <v>494.15</v>
      </c>
    </row>
    <row r="473" spans="1:7" x14ac:dyDescent="0.25">
      <c r="A473">
        <v>45</v>
      </c>
      <c r="B473">
        <v>27</v>
      </c>
      <c r="C473">
        <v>4</v>
      </c>
      <c r="D473">
        <v>23</v>
      </c>
      <c r="E473">
        <v>2016</v>
      </c>
      <c r="F473">
        <v>9</v>
      </c>
      <c r="G473">
        <v>490.95</v>
      </c>
    </row>
    <row r="474" spans="1:7" x14ac:dyDescent="0.25">
      <c r="A474">
        <v>22</v>
      </c>
      <c r="B474">
        <v>4</v>
      </c>
      <c r="C474">
        <v>1</v>
      </c>
      <c r="D474">
        <v>17</v>
      </c>
      <c r="E474">
        <v>1999</v>
      </c>
      <c r="F474">
        <v>26</v>
      </c>
      <c r="G474">
        <v>499.35</v>
      </c>
    </row>
    <row r="475" spans="1:7" x14ac:dyDescent="0.25">
      <c r="A475">
        <v>64</v>
      </c>
      <c r="B475">
        <v>38</v>
      </c>
      <c r="C475">
        <v>4</v>
      </c>
      <c r="D475">
        <v>19</v>
      </c>
      <c r="E475">
        <v>1998</v>
      </c>
      <c r="F475">
        <v>27</v>
      </c>
      <c r="G475">
        <v>485.45</v>
      </c>
    </row>
    <row r="476" spans="1:7" x14ac:dyDescent="0.25">
      <c r="A476">
        <v>47</v>
      </c>
      <c r="B476">
        <v>28</v>
      </c>
      <c r="C476">
        <v>0</v>
      </c>
      <c r="D476">
        <v>15</v>
      </c>
      <c r="E476">
        <v>2022</v>
      </c>
      <c r="F476">
        <v>3</v>
      </c>
      <c r="G476">
        <v>483.25</v>
      </c>
    </row>
    <row r="477" spans="1:7" x14ac:dyDescent="0.25">
      <c r="A477">
        <v>63</v>
      </c>
      <c r="B477">
        <v>28</v>
      </c>
      <c r="C477">
        <v>0</v>
      </c>
      <c r="D477">
        <v>16</v>
      </c>
      <c r="E477">
        <v>2021</v>
      </c>
      <c r="F477">
        <v>4</v>
      </c>
      <c r="G477">
        <v>480.2</v>
      </c>
    </row>
    <row r="478" spans="1:7" x14ac:dyDescent="0.25">
      <c r="A478">
        <v>22</v>
      </c>
      <c r="B478">
        <v>4</v>
      </c>
      <c r="C478">
        <v>0</v>
      </c>
      <c r="D478">
        <v>20</v>
      </c>
      <c r="E478">
        <v>1995</v>
      </c>
      <c r="F478">
        <v>30</v>
      </c>
      <c r="G478">
        <v>498.4</v>
      </c>
    </row>
    <row r="479" spans="1:7" x14ac:dyDescent="0.25">
      <c r="A479">
        <v>29</v>
      </c>
      <c r="B479">
        <v>9</v>
      </c>
      <c r="C479">
        <v>0</v>
      </c>
      <c r="D479">
        <v>24</v>
      </c>
      <c r="E479">
        <v>2025</v>
      </c>
      <c r="F479">
        <v>0</v>
      </c>
      <c r="G479">
        <v>492.7</v>
      </c>
    </row>
    <row r="480" spans="1:7" x14ac:dyDescent="0.25">
      <c r="A480">
        <v>33</v>
      </c>
      <c r="B480">
        <v>15</v>
      </c>
      <c r="C480">
        <v>0</v>
      </c>
      <c r="D480">
        <v>22</v>
      </c>
      <c r="E480">
        <v>1991</v>
      </c>
      <c r="F480">
        <v>34</v>
      </c>
      <c r="G480">
        <v>493.4</v>
      </c>
    </row>
    <row r="481" spans="1:7" x14ac:dyDescent="0.25">
      <c r="A481">
        <v>43</v>
      </c>
      <c r="B481">
        <v>24</v>
      </c>
      <c r="C481">
        <v>0</v>
      </c>
      <c r="D481">
        <v>22</v>
      </c>
      <c r="E481">
        <v>2018</v>
      </c>
      <c r="F481">
        <v>7</v>
      </c>
      <c r="G481">
        <v>486</v>
      </c>
    </row>
    <row r="482" spans="1:7" x14ac:dyDescent="0.25">
      <c r="A482">
        <v>43</v>
      </c>
      <c r="B482">
        <v>25</v>
      </c>
      <c r="C482">
        <v>1</v>
      </c>
      <c r="D482">
        <v>12</v>
      </c>
      <c r="E482">
        <v>1993</v>
      </c>
      <c r="F482">
        <v>32</v>
      </c>
      <c r="G482">
        <v>489.2</v>
      </c>
    </row>
    <row r="483" spans="1:7" x14ac:dyDescent="0.25">
      <c r="A483">
        <v>65</v>
      </c>
      <c r="B483">
        <v>19</v>
      </c>
      <c r="C483">
        <v>3</v>
      </c>
      <c r="D483">
        <v>13</v>
      </c>
      <c r="E483">
        <v>1990</v>
      </c>
      <c r="F483">
        <v>35</v>
      </c>
      <c r="G483">
        <v>489.95</v>
      </c>
    </row>
    <row r="484" spans="1:7" x14ac:dyDescent="0.25">
      <c r="A484">
        <v>38</v>
      </c>
      <c r="B484">
        <v>4</v>
      </c>
      <c r="C484">
        <v>4</v>
      </c>
      <c r="D484">
        <v>13</v>
      </c>
      <c r="E484">
        <v>2008</v>
      </c>
      <c r="F484">
        <v>17</v>
      </c>
      <c r="G484">
        <v>499.55</v>
      </c>
    </row>
    <row r="485" spans="1:7" x14ac:dyDescent="0.25">
      <c r="A485">
        <v>56</v>
      </c>
      <c r="B485">
        <v>0</v>
      </c>
      <c r="C485">
        <v>0</v>
      </c>
      <c r="D485">
        <v>22</v>
      </c>
      <c r="E485">
        <v>2015</v>
      </c>
      <c r="F485">
        <v>10</v>
      </c>
      <c r="G485">
        <v>490.9</v>
      </c>
    </row>
    <row r="486" spans="1:7" x14ac:dyDescent="0.25">
      <c r="A486">
        <v>53</v>
      </c>
      <c r="B486">
        <v>29</v>
      </c>
      <c r="C486">
        <v>1</v>
      </c>
      <c r="D486">
        <v>22</v>
      </c>
      <c r="E486">
        <v>2014</v>
      </c>
      <c r="F486">
        <v>11</v>
      </c>
      <c r="G486">
        <v>484.4</v>
      </c>
    </row>
    <row r="487" spans="1:7" x14ac:dyDescent="0.25">
      <c r="A487">
        <v>50</v>
      </c>
      <c r="B487">
        <v>2</v>
      </c>
      <c r="C487">
        <v>1</v>
      </c>
      <c r="D487">
        <v>25</v>
      </c>
      <c r="E487">
        <v>1999</v>
      </c>
      <c r="F487">
        <v>26</v>
      </c>
      <c r="G487">
        <v>494.75</v>
      </c>
    </row>
    <row r="488" spans="1:7" x14ac:dyDescent="0.25">
      <c r="A488">
        <v>47</v>
      </c>
      <c r="B488">
        <v>13</v>
      </c>
      <c r="C488">
        <v>1</v>
      </c>
      <c r="D488">
        <v>19</v>
      </c>
      <c r="E488">
        <v>2004</v>
      </c>
      <c r="F488">
        <v>21</v>
      </c>
      <c r="G488">
        <v>491.25</v>
      </c>
    </row>
    <row r="489" spans="1:7" x14ac:dyDescent="0.25">
      <c r="A489">
        <v>54</v>
      </c>
      <c r="B489">
        <v>29</v>
      </c>
      <c r="C489">
        <v>3</v>
      </c>
      <c r="D489">
        <v>25</v>
      </c>
      <c r="E489">
        <v>2011</v>
      </c>
      <c r="F489">
        <v>14</v>
      </c>
      <c r="G489">
        <v>487.65</v>
      </c>
    </row>
    <row r="490" spans="1:7" x14ac:dyDescent="0.25">
      <c r="A490">
        <v>40</v>
      </c>
      <c r="B490">
        <v>3</v>
      </c>
      <c r="C490">
        <v>4</v>
      </c>
      <c r="D490">
        <v>17</v>
      </c>
      <c r="E490">
        <v>2010</v>
      </c>
      <c r="F490">
        <v>15</v>
      </c>
      <c r="G490">
        <v>499.45</v>
      </c>
    </row>
    <row r="491" spans="1:7" x14ac:dyDescent="0.25">
      <c r="A491">
        <v>27</v>
      </c>
      <c r="B491">
        <v>9</v>
      </c>
      <c r="C491">
        <v>3</v>
      </c>
      <c r="D491">
        <v>18</v>
      </c>
      <c r="E491">
        <v>2011</v>
      </c>
      <c r="F491">
        <v>14</v>
      </c>
      <c r="G491">
        <v>498.7</v>
      </c>
    </row>
    <row r="492" spans="1:7" x14ac:dyDescent="0.25">
      <c r="A492">
        <v>22</v>
      </c>
      <c r="B492">
        <v>4</v>
      </c>
      <c r="C492">
        <v>2</v>
      </c>
      <c r="D492">
        <v>21</v>
      </c>
      <c r="E492">
        <v>2025</v>
      </c>
      <c r="F492">
        <v>0</v>
      </c>
      <c r="G492">
        <v>498.45</v>
      </c>
    </row>
    <row r="493" spans="1:7" x14ac:dyDescent="0.25">
      <c r="A493">
        <v>53</v>
      </c>
      <c r="B493">
        <v>24</v>
      </c>
      <c r="C493">
        <v>1</v>
      </c>
      <c r="D493">
        <v>20</v>
      </c>
      <c r="E493">
        <v>2023</v>
      </c>
      <c r="F493">
        <v>2</v>
      </c>
      <c r="G493">
        <v>484.9</v>
      </c>
    </row>
    <row r="494" spans="1:7" x14ac:dyDescent="0.25">
      <c r="A494">
        <v>51</v>
      </c>
      <c r="B494">
        <v>0</v>
      </c>
      <c r="C494">
        <v>2</v>
      </c>
      <c r="D494">
        <v>21</v>
      </c>
      <c r="E494">
        <v>2019</v>
      </c>
      <c r="F494">
        <v>6</v>
      </c>
      <c r="G494">
        <v>494.45</v>
      </c>
    </row>
    <row r="495" spans="1:7" x14ac:dyDescent="0.25">
      <c r="A495">
        <v>48</v>
      </c>
      <c r="B495">
        <v>14</v>
      </c>
      <c r="C495">
        <v>5</v>
      </c>
      <c r="D495">
        <v>19</v>
      </c>
      <c r="E495">
        <v>2014</v>
      </c>
      <c r="F495">
        <v>11</v>
      </c>
      <c r="G495">
        <v>495.75</v>
      </c>
    </row>
    <row r="496" spans="1:7" x14ac:dyDescent="0.25">
      <c r="A496">
        <v>27</v>
      </c>
      <c r="B496">
        <v>8</v>
      </c>
      <c r="C496">
        <v>0</v>
      </c>
      <c r="D496">
        <v>16</v>
      </c>
      <c r="E496">
        <v>2017</v>
      </c>
      <c r="F496">
        <v>8</v>
      </c>
      <c r="G496">
        <v>493.8</v>
      </c>
    </row>
    <row r="497" spans="1:7" x14ac:dyDescent="0.25">
      <c r="A497">
        <v>36</v>
      </c>
      <c r="B497">
        <v>14</v>
      </c>
      <c r="C497">
        <v>0</v>
      </c>
      <c r="D497">
        <v>14</v>
      </c>
      <c r="E497">
        <v>1990</v>
      </c>
      <c r="F497">
        <v>35</v>
      </c>
      <c r="G497">
        <v>492.8</v>
      </c>
    </row>
    <row r="498" spans="1:7" x14ac:dyDescent="0.25">
      <c r="A498">
        <v>49</v>
      </c>
      <c r="B498">
        <v>23</v>
      </c>
      <c r="C498">
        <v>3</v>
      </c>
      <c r="D498">
        <v>22</v>
      </c>
      <c r="E498">
        <v>1993</v>
      </c>
      <c r="F498">
        <v>32</v>
      </c>
      <c r="G498">
        <v>492.1</v>
      </c>
    </row>
    <row r="499" spans="1:7" x14ac:dyDescent="0.25">
      <c r="A499">
        <v>18</v>
      </c>
      <c r="B499">
        <v>0</v>
      </c>
      <c r="C499">
        <v>4</v>
      </c>
      <c r="D499">
        <v>11</v>
      </c>
      <c r="E499">
        <v>1996</v>
      </c>
      <c r="F499">
        <v>29</v>
      </c>
      <c r="G499">
        <v>505.85</v>
      </c>
    </row>
    <row r="500" spans="1:7" x14ac:dyDescent="0.25">
      <c r="A500">
        <v>22</v>
      </c>
      <c r="B500">
        <v>4</v>
      </c>
      <c r="C500">
        <v>2</v>
      </c>
      <c r="D500">
        <v>18</v>
      </c>
      <c r="E500">
        <v>1998</v>
      </c>
      <c r="F500">
        <v>27</v>
      </c>
      <c r="G500">
        <v>501</v>
      </c>
    </row>
    <row r="501" spans="1:7" x14ac:dyDescent="0.25">
      <c r="A501">
        <v>62</v>
      </c>
      <c r="B501">
        <v>36</v>
      </c>
      <c r="C501">
        <v>4</v>
      </c>
      <c r="D501">
        <v>17</v>
      </c>
      <c r="E501">
        <v>2025</v>
      </c>
      <c r="F501">
        <v>0</v>
      </c>
      <c r="G501">
        <v>483.65</v>
      </c>
    </row>
    <row r="502" spans="1:7" x14ac:dyDescent="0.25">
      <c r="A502">
        <v>21</v>
      </c>
      <c r="B502">
        <v>3</v>
      </c>
      <c r="C502">
        <v>3</v>
      </c>
      <c r="D502">
        <v>12</v>
      </c>
      <c r="E502">
        <v>2008</v>
      </c>
      <c r="F502">
        <v>17</v>
      </c>
      <c r="G502">
        <v>501.7</v>
      </c>
    </row>
    <row r="503" spans="1:7" x14ac:dyDescent="0.25">
      <c r="A503">
        <v>33</v>
      </c>
      <c r="B503">
        <v>5</v>
      </c>
      <c r="C503">
        <v>0</v>
      </c>
      <c r="D503">
        <v>18</v>
      </c>
      <c r="E503">
        <v>1990</v>
      </c>
      <c r="F503">
        <v>35</v>
      </c>
      <c r="G503">
        <v>496.3</v>
      </c>
    </row>
    <row r="504" spans="1:7" x14ac:dyDescent="0.25">
      <c r="A504">
        <v>41</v>
      </c>
      <c r="B504">
        <v>23</v>
      </c>
      <c r="C504">
        <v>4</v>
      </c>
      <c r="D504">
        <v>22</v>
      </c>
      <c r="E504">
        <v>1999</v>
      </c>
      <c r="F504">
        <v>26</v>
      </c>
      <c r="G504">
        <v>494.6</v>
      </c>
    </row>
    <row r="505" spans="1:7" x14ac:dyDescent="0.25">
      <c r="A505">
        <v>33</v>
      </c>
      <c r="B505">
        <v>15</v>
      </c>
      <c r="C505">
        <v>4</v>
      </c>
      <c r="D505">
        <v>15</v>
      </c>
      <c r="E505">
        <v>2025</v>
      </c>
      <c r="F505">
        <v>0</v>
      </c>
      <c r="G505">
        <v>495.65</v>
      </c>
    </row>
    <row r="506" spans="1:7" x14ac:dyDescent="0.25">
      <c r="A506">
        <v>19</v>
      </c>
      <c r="B506">
        <v>1</v>
      </c>
      <c r="C506">
        <v>0</v>
      </c>
      <c r="D506">
        <v>17</v>
      </c>
      <c r="E506">
        <v>1998</v>
      </c>
      <c r="F506">
        <v>27</v>
      </c>
      <c r="G506">
        <v>499.45</v>
      </c>
    </row>
    <row r="507" spans="1:7" x14ac:dyDescent="0.25">
      <c r="A507">
        <v>45</v>
      </c>
      <c r="B507">
        <v>12</v>
      </c>
      <c r="C507">
        <v>2</v>
      </c>
      <c r="D507">
        <v>14</v>
      </c>
      <c r="E507">
        <v>2021</v>
      </c>
      <c r="F507">
        <v>4</v>
      </c>
      <c r="G507">
        <v>491.5</v>
      </c>
    </row>
    <row r="508" spans="1:7" x14ac:dyDescent="0.25">
      <c r="A508">
        <v>49</v>
      </c>
      <c r="B508">
        <v>31</v>
      </c>
      <c r="C508">
        <v>0</v>
      </c>
      <c r="D508">
        <v>15</v>
      </c>
      <c r="E508">
        <v>2021</v>
      </c>
      <c r="F508">
        <v>4</v>
      </c>
      <c r="G508">
        <v>482.05</v>
      </c>
    </row>
    <row r="509" spans="1:7" x14ac:dyDescent="0.25">
      <c r="A509">
        <v>44</v>
      </c>
      <c r="B509">
        <v>24</v>
      </c>
      <c r="C509">
        <v>4</v>
      </c>
      <c r="D509">
        <v>18</v>
      </c>
      <c r="E509">
        <v>1995</v>
      </c>
      <c r="F509">
        <v>30</v>
      </c>
      <c r="G509">
        <v>493.9</v>
      </c>
    </row>
    <row r="510" spans="1:7" x14ac:dyDescent="0.25">
      <c r="A510">
        <v>37</v>
      </c>
      <c r="B510">
        <v>6</v>
      </c>
      <c r="C510">
        <v>2</v>
      </c>
      <c r="D510">
        <v>11</v>
      </c>
      <c r="E510">
        <v>2006</v>
      </c>
      <c r="F510">
        <v>19</v>
      </c>
      <c r="G510">
        <v>496.25</v>
      </c>
    </row>
    <row r="511" spans="1:7" x14ac:dyDescent="0.25">
      <c r="A511">
        <v>41</v>
      </c>
      <c r="B511">
        <v>3</v>
      </c>
      <c r="C511">
        <v>2</v>
      </c>
      <c r="D511">
        <v>11</v>
      </c>
      <c r="E511">
        <v>1999</v>
      </c>
      <c r="F511">
        <v>26</v>
      </c>
      <c r="G511">
        <v>497.05</v>
      </c>
    </row>
    <row r="512" spans="1:7" x14ac:dyDescent="0.25">
      <c r="A512">
        <v>29</v>
      </c>
      <c r="B512">
        <v>7</v>
      </c>
      <c r="C512">
        <v>0</v>
      </c>
      <c r="D512">
        <v>25</v>
      </c>
      <c r="E512">
        <v>2016</v>
      </c>
      <c r="F512">
        <v>9</v>
      </c>
      <c r="G512">
        <v>494.25</v>
      </c>
    </row>
    <row r="513" spans="1:7" x14ac:dyDescent="0.25">
      <c r="A513">
        <v>52</v>
      </c>
      <c r="B513">
        <v>19</v>
      </c>
      <c r="C513">
        <v>4</v>
      </c>
      <c r="D513">
        <v>14</v>
      </c>
      <c r="E513">
        <v>2024</v>
      </c>
      <c r="F513">
        <v>1</v>
      </c>
      <c r="G513">
        <v>490.7</v>
      </c>
    </row>
    <row r="514" spans="1:7" x14ac:dyDescent="0.25">
      <c r="A514">
        <v>50</v>
      </c>
      <c r="B514">
        <v>28</v>
      </c>
      <c r="C514">
        <v>3</v>
      </c>
      <c r="D514">
        <v>13</v>
      </c>
      <c r="E514">
        <v>2010</v>
      </c>
      <c r="F514">
        <v>15</v>
      </c>
      <c r="G514">
        <v>488.25</v>
      </c>
    </row>
    <row r="515" spans="1:7" x14ac:dyDescent="0.25">
      <c r="A515">
        <v>50</v>
      </c>
      <c r="B515">
        <v>9</v>
      </c>
      <c r="C515">
        <v>4</v>
      </c>
      <c r="D515">
        <v>23</v>
      </c>
      <c r="E515">
        <v>2014</v>
      </c>
      <c r="F515">
        <v>11</v>
      </c>
      <c r="G515">
        <v>495.55</v>
      </c>
    </row>
    <row r="516" spans="1:7" x14ac:dyDescent="0.25">
      <c r="A516">
        <v>60</v>
      </c>
      <c r="B516">
        <v>33</v>
      </c>
      <c r="C516">
        <v>1</v>
      </c>
      <c r="D516">
        <v>20</v>
      </c>
      <c r="E516">
        <v>2017</v>
      </c>
      <c r="F516">
        <v>8</v>
      </c>
      <c r="G516">
        <v>481.4</v>
      </c>
    </row>
    <row r="517" spans="1:7" x14ac:dyDescent="0.25">
      <c r="A517">
        <v>54</v>
      </c>
      <c r="B517">
        <v>25</v>
      </c>
      <c r="C517">
        <v>5</v>
      </c>
      <c r="D517">
        <v>22</v>
      </c>
      <c r="E517">
        <v>2004</v>
      </c>
      <c r="F517">
        <v>21</v>
      </c>
      <c r="G517">
        <v>492.4</v>
      </c>
    </row>
    <row r="518" spans="1:7" x14ac:dyDescent="0.25">
      <c r="A518">
        <v>29</v>
      </c>
      <c r="B518">
        <v>11</v>
      </c>
      <c r="C518">
        <v>3</v>
      </c>
      <c r="D518">
        <v>12</v>
      </c>
      <c r="E518">
        <v>1993</v>
      </c>
      <c r="F518">
        <v>32</v>
      </c>
      <c r="G518">
        <v>499.2</v>
      </c>
    </row>
    <row r="519" spans="1:7" x14ac:dyDescent="0.25">
      <c r="A519">
        <v>20</v>
      </c>
      <c r="B519">
        <v>2</v>
      </c>
      <c r="C519">
        <v>2</v>
      </c>
      <c r="D519">
        <v>22</v>
      </c>
      <c r="E519">
        <v>2018</v>
      </c>
      <c r="F519">
        <v>7</v>
      </c>
      <c r="G519">
        <v>500.2</v>
      </c>
    </row>
    <row r="520" spans="1:7" x14ac:dyDescent="0.25">
      <c r="A520">
        <v>18</v>
      </c>
      <c r="B520">
        <v>0</v>
      </c>
      <c r="C520">
        <v>3</v>
      </c>
      <c r="D520">
        <v>13</v>
      </c>
      <c r="E520">
        <v>1998</v>
      </c>
      <c r="F520">
        <v>27</v>
      </c>
      <c r="G520">
        <v>504.25</v>
      </c>
    </row>
    <row r="521" spans="1:7" x14ac:dyDescent="0.25">
      <c r="A521">
        <v>50</v>
      </c>
      <c r="B521">
        <v>4</v>
      </c>
      <c r="C521">
        <v>2</v>
      </c>
      <c r="D521">
        <v>21</v>
      </c>
      <c r="E521">
        <v>2016</v>
      </c>
      <c r="F521">
        <v>9</v>
      </c>
      <c r="G521">
        <v>493.75</v>
      </c>
    </row>
    <row r="522" spans="1:7" x14ac:dyDescent="0.25">
      <c r="A522">
        <v>57</v>
      </c>
      <c r="B522">
        <v>4</v>
      </c>
      <c r="C522">
        <v>2</v>
      </c>
      <c r="D522">
        <v>25</v>
      </c>
      <c r="E522">
        <v>2015</v>
      </c>
      <c r="F522">
        <v>10</v>
      </c>
      <c r="G522">
        <v>492.65</v>
      </c>
    </row>
    <row r="523" spans="1:7" x14ac:dyDescent="0.25">
      <c r="A523">
        <v>27</v>
      </c>
      <c r="B523">
        <v>9</v>
      </c>
      <c r="C523">
        <v>3</v>
      </c>
      <c r="D523">
        <v>25</v>
      </c>
      <c r="E523">
        <v>2008</v>
      </c>
      <c r="F523">
        <v>17</v>
      </c>
      <c r="G523">
        <v>499.35</v>
      </c>
    </row>
    <row r="524" spans="1:7" x14ac:dyDescent="0.25">
      <c r="A524">
        <v>60</v>
      </c>
      <c r="B524">
        <v>8</v>
      </c>
      <c r="C524">
        <v>2</v>
      </c>
      <c r="D524">
        <v>21</v>
      </c>
      <c r="E524">
        <v>2017</v>
      </c>
      <c r="F524">
        <v>8</v>
      </c>
      <c r="G524">
        <v>490.45</v>
      </c>
    </row>
    <row r="525" spans="1:7" x14ac:dyDescent="0.25">
      <c r="A525">
        <v>61</v>
      </c>
      <c r="B525">
        <v>34</v>
      </c>
      <c r="C525">
        <v>2</v>
      </c>
      <c r="D525">
        <v>24</v>
      </c>
      <c r="E525">
        <v>2006</v>
      </c>
      <c r="F525">
        <v>19</v>
      </c>
      <c r="G525">
        <v>483.7</v>
      </c>
    </row>
    <row r="526" spans="1:7" x14ac:dyDescent="0.25">
      <c r="A526">
        <v>46</v>
      </c>
      <c r="B526">
        <v>19</v>
      </c>
      <c r="C526">
        <v>1</v>
      </c>
      <c r="D526">
        <v>21</v>
      </c>
      <c r="E526">
        <v>2009</v>
      </c>
      <c r="F526">
        <v>16</v>
      </c>
      <c r="G526">
        <v>489.25</v>
      </c>
    </row>
    <row r="527" spans="1:7" x14ac:dyDescent="0.25">
      <c r="A527">
        <v>30</v>
      </c>
      <c r="B527">
        <v>12</v>
      </c>
      <c r="C527">
        <v>4</v>
      </c>
      <c r="D527">
        <v>11</v>
      </c>
      <c r="E527">
        <v>2012</v>
      </c>
      <c r="F527">
        <v>13</v>
      </c>
      <c r="G527">
        <v>498.25</v>
      </c>
    </row>
    <row r="528" spans="1:7" x14ac:dyDescent="0.25">
      <c r="A528">
        <v>29</v>
      </c>
      <c r="B528">
        <v>11</v>
      </c>
      <c r="C528">
        <v>4</v>
      </c>
      <c r="D528">
        <v>11</v>
      </c>
      <c r="E528">
        <v>2021</v>
      </c>
      <c r="F528">
        <v>4</v>
      </c>
      <c r="G528">
        <v>497.85</v>
      </c>
    </row>
    <row r="529" spans="1:7" x14ac:dyDescent="0.25">
      <c r="A529">
        <v>48</v>
      </c>
      <c r="B529">
        <v>16</v>
      </c>
      <c r="C529">
        <v>5</v>
      </c>
      <c r="D529">
        <v>16</v>
      </c>
      <c r="E529">
        <v>2022</v>
      </c>
      <c r="F529">
        <v>3</v>
      </c>
      <c r="G529">
        <v>494.2</v>
      </c>
    </row>
    <row r="530" spans="1:7" x14ac:dyDescent="0.25">
      <c r="A530">
        <v>63</v>
      </c>
      <c r="B530">
        <v>23</v>
      </c>
      <c r="C530">
        <v>5</v>
      </c>
      <c r="D530">
        <v>15</v>
      </c>
      <c r="E530">
        <v>1994</v>
      </c>
      <c r="F530">
        <v>31</v>
      </c>
      <c r="G530">
        <v>491.85</v>
      </c>
    </row>
    <row r="531" spans="1:7" x14ac:dyDescent="0.25">
      <c r="A531">
        <v>19</v>
      </c>
      <c r="B531">
        <v>1</v>
      </c>
      <c r="C531">
        <v>1</v>
      </c>
      <c r="D531">
        <v>18</v>
      </c>
      <c r="E531">
        <v>2023</v>
      </c>
      <c r="F531">
        <v>2</v>
      </c>
      <c r="G531">
        <v>498.5</v>
      </c>
    </row>
    <row r="532" spans="1:7" x14ac:dyDescent="0.25">
      <c r="A532">
        <v>52</v>
      </c>
      <c r="B532">
        <v>31</v>
      </c>
      <c r="C532">
        <v>5</v>
      </c>
      <c r="D532">
        <v>12</v>
      </c>
      <c r="E532">
        <v>2000</v>
      </c>
      <c r="F532">
        <v>25</v>
      </c>
      <c r="G532">
        <v>490.9</v>
      </c>
    </row>
    <row r="533" spans="1:7" x14ac:dyDescent="0.25">
      <c r="A533">
        <v>40</v>
      </c>
      <c r="B533">
        <v>22</v>
      </c>
      <c r="C533">
        <v>3</v>
      </c>
      <c r="D533">
        <v>14</v>
      </c>
      <c r="E533">
        <v>1992</v>
      </c>
      <c r="F533">
        <v>33</v>
      </c>
      <c r="G533">
        <v>493.9</v>
      </c>
    </row>
    <row r="534" spans="1:7" x14ac:dyDescent="0.25">
      <c r="A534">
        <v>34</v>
      </c>
      <c r="B534">
        <v>16</v>
      </c>
      <c r="C534">
        <v>0</v>
      </c>
      <c r="D534">
        <v>18</v>
      </c>
      <c r="E534">
        <v>2022</v>
      </c>
      <c r="F534">
        <v>3</v>
      </c>
      <c r="G534">
        <v>489.6</v>
      </c>
    </row>
    <row r="535" spans="1:7" x14ac:dyDescent="0.25">
      <c r="A535">
        <v>43</v>
      </c>
      <c r="B535">
        <v>12</v>
      </c>
      <c r="C535">
        <v>0</v>
      </c>
      <c r="D535">
        <v>22</v>
      </c>
      <c r="E535">
        <v>2000</v>
      </c>
      <c r="F535">
        <v>25</v>
      </c>
      <c r="G535">
        <v>491.4</v>
      </c>
    </row>
    <row r="536" spans="1:7" x14ac:dyDescent="0.25">
      <c r="A536">
        <v>25</v>
      </c>
      <c r="B536">
        <v>7</v>
      </c>
      <c r="C536">
        <v>0</v>
      </c>
      <c r="D536">
        <v>16</v>
      </c>
      <c r="E536">
        <v>2005</v>
      </c>
      <c r="F536">
        <v>20</v>
      </c>
      <c r="G536">
        <v>495.7</v>
      </c>
    </row>
    <row r="537" spans="1:7" x14ac:dyDescent="0.25">
      <c r="A537">
        <v>46</v>
      </c>
      <c r="B537">
        <v>8</v>
      </c>
      <c r="C537">
        <v>1</v>
      </c>
      <c r="D537">
        <v>11</v>
      </c>
      <c r="E537">
        <v>2007</v>
      </c>
      <c r="F537">
        <v>18</v>
      </c>
      <c r="G537">
        <v>492.25</v>
      </c>
    </row>
    <row r="538" spans="1:7" x14ac:dyDescent="0.25">
      <c r="A538">
        <v>43</v>
      </c>
      <c r="B538">
        <v>3</v>
      </c>
      <c r="C538">
        <v>1</v>
      </c>
      <c r="D538">
        <v>25</v>
      </c>
      <c r="E538">
        <v>2019</v>
      </c>
      <c r="F538">
        <v>6</v>
      </c>
      <c r="G538">
        <v>493.85</v>
      </c>
    </row>
    <row r="539" spans="1:7" x14ac:dyDescent="0.25">
      <c r="A539">
        <v>27</v>
      </c>
      <c r="B539">
        <v>9</v>
      </c>
      <c r="C539">
        <v>2</v>
      </c>
      <c r="D539">
        <v>14</v>
      </c>
      <c r="E539">
        <v>1999</v>
      </c>
      <c r="F539">
        <v>26</v>
      </c>
      <c r="G539">
        <v>498.2</v>
      </c>
    </row>
    <row r="540" spans="1:7" x14ac:dyDescent="0.25">
      <c r="A540">
        <v>43</v>
      </c>
      <c r="B540">
        <v>25</v>
      </c>
      <c r="C540">
        <v>0</v>
      </c>
      <c r="D540">
        <v>11</v>
      </c>
      <c r="E540">
        <v>2007</v>
      </c>
      <c r="F540">
        <v>18</v>
      </c>
      <c r="G540">
        <v>486.25</v>
      </c>
    </row>
    <row r="541" spans="1:7" x14ac:dyDescent="0.25">
      <c r="A541">
        <v>51</v>
      </c>
      <c r="B541">
        <v>33</v>
      </c>
      <c r="C541">
        <v>3</v>
      </c>
      <c r="D541">
        <v>23</v>
      </c>
      <c r="E541">
        <v>2008</v>
      </c>
      <c r="F541">
        <v>17</v>
      </c>
      <c r="G541">
        <v>487.25</v>
      </c>
    </row>
    <row r="542" spans="1:7" x14ac:dyDescent="0.25">
      <c r="A542">
        <v>58</v>
      </c>
      <c r="B542">
        <v>10</v>
      </c>
      <c r="C542">
        <v>5</v>
      </c>
      <c r="D542">
        <v>12</v>
      </c>
      <c r="E542">
        <v>2025</v>
      </c>
      <c r="F542">
        <v>0</v>
      </c>
      <c r="G542">
        <v>493.5</v>
      </c>
    </row>
    <row r="543" spans="1:7" x14ac:dyDescent="0.25">
      <c r="A543">
        <v>24</v>
      </c>
      <c r="B543">
        <v>6</v>
      </c>
      <c r="C543">
        <v>3</v>
      </c>
      <c r="D543">
        <v>15</v>
      </c>
      <c r="E543">
        <v>2002</v>
      </c>
      <c r="F543">
        <v>23</v>
      </c>
      <c r="G543">
        <v>500.95</v>
      </c>
    </row>
    <row r="544" spans="1:7" x14ac:dyDescent="0.25">
      <c r="A544">
        <v>21</v>
      </c>
      <c r="B544">
        <v>2</v>
      </c>
      <c r="C544">
        <v>5</v>
      </c>
      <c r="D544">
        <v>24</v>
      </c>
      <c r="E544">
        <v>1992</v>
      </c>
      <c r="F544">
        <v>33</v>
      </c>
      <c r="G544">
        <v>507.2</v>
      </c>
    </row>
    <row r="545" spans="1:7" x14ac:dyDescent="0.25">
      <c r="A545">
        <v>62</v>
      </c>
      <c r="B545">
        <v>27</v>
      </c>
      <c r="C545">
        <v>0</v>
      </c>
      <c r="D545">
        <v>18</v>
      </c>
      <c r="E545">
        <v>1999</v>
      </c>
      <c r="F545">
        <v>26</v>
      </c>
      <c r="G545">
        <v>483</v>
      </c>
    </row>
    <row r="546" spans="1:7" x14ac:dyDescent="0.25">
      <c r="A546">
        <v>28</v>
      </c>
      <c r="B546">
        <v>10</v>
      </c>
      <c r="C546">
        <v>0</v>
      </c>
      <c r="D546">
        <v>18</v>
      </c>
      <c r="E546">
        <v>1990</v>
      </c>
      <c r="F546">
        <v>35</v>
      </c>
      <c r="G546">
        <v>495.8</v>
      </c>
    </row>
    <row r="547" spans="1:7" x14ac:dyDescent="0.25">
      <c r="A547">
        <v>46</v>
      </c>
      <c r="B547">
        <v>8</v>
      </c>
      <c r="C547">
        <v>0</v>
      </c>
      <c r="D547">
        <v>21</v>
      </c>
      <c r="E547">
        <v>2016</v>
      </c>
      <c r="F547">
        <v>9</v>
      </c>
      <c r="G547">
        <v>490.35</v>
      </c>
    </row>
    <row r="548" spans="1:7" x14ac:dyDescent="0.25">
      <c r="A548">
        <v>53</v>
      </c>
      <c r="B548">
        <v>2</v>
      </c>
      <c r="C548">
        <v>1</v>
      </c>
      <c r="D548">
        <v>13</v>
      </c>
      <c r="E548">
        <v>1997</v>
      </c>
      <c r="F548">
        <v>28</v>
      </c>
      <c r="G548">
        <v>493.75</v>
      </c>
    </row>
    <row r="549" spans="1:7" x14ac:dyDescent="0.25">
      <c r="A549">
        <v>42</v>
      </c>
      <c r="B549">
        <v>24</v>
      </c>
      <c r="C549">
        <v>5</v>
      </c>
      <c r="D549">
        <v>21</v>
      </c>
      <c r="E549">
        <v>2006</v>
      </c>
      <c r="F549">
        <v>19</v>
      </c>
      <c r="G549">
        <v>494.85</v>
      </c>
    </row>
    <row r="550" spans="1:7" x14ac:dyDescent="0.25">
      <c r="A550">
        <v>38</v>
      </c>
      <c r="B550">
        <v>20</v>
      </c>
      <c r="C550">
        <v>1</v>
      </c>
      <c r="D550">
        <v>23</v>
      </c>
      <c r="E550">
        <v>1998</v>
      </c>
      <c r="F550">
        <v>27</v>
      </c>
      <c r="G550">
        <v>491.75</v>
      </c>
    </row>
    <row r="551" spans="1:7" x14ac:dyDescent="0.25">
      <c r="A551">
        <v>53</v>
      </c>
      <c r="B551">
        <v>11</v>
      </c>
      <c r="C551">
        <v>1</v>
      </c>
      <c r="D551">
        <v>14</v>
      </c>
      <c r="E551">
        <v>1995</v>
      </c>
      <c r="F551">
        <v>30</v>
      </c>
      <c r="G551">
        <v>491.3</v>
      </c>
    </row>
    <row r="552" spans="1:7" x14ac:dyDescent="0.25">
      <c r="A552">
        <v>27</v>
      </c>
      <c r="B552">
        <v>8</v>
      </c>
      <c r="C552">
        <v>4</v>
      </c>
      <c r="D552">
        <v>20</v>
      </c>
      <c r="E552">
        <v>2014</v>
      </c>
      <c r="F552">
        <v>11</v>
      </c>
      <c r="G552">
        <v>500.3</v>
      </c>
    </row>
    <row r="553" spans="1:7" x14ac:dyDescent="0.25">
      <c r="A553">
        <v>54</v>
      </c>
      <c r="B553">
        <v>14</v>
      </c>
      <c r="C553">
        <v>3</v>
      </c>
      <c r="D553">
        <v>21</v>
      </c>
      <c r="E553">
        <v>2017</v>
      </c>
      <c r="F553">
        <v>8</v>
      </c>
      <c r="G553">
        <v>491.35</v>
      </c>
    </row>
    <row r="554" spans="1:7" x14ac:dyDescent="0.25">
      <c r="A554">
        <v>26</v>
      </c>
      <c r="B554">
        <v>8</v>
      </c>
      <c r="C554">
        <v>3</v>
      </c>
      <c r="D554">
        <v>24</v>
      </c>
      <c r="E554">
        <v>2022</v>
      </c>
      <c r="F554">
        <v>3</v>
      </c>
      <c r="G554">
        <v>498.4</v>
      </c>
    </row>
    <row r="555" spans="1:7" x14ac:dyDescent="0.25">
      <c r="A555">
        <v>41</v>
      </c>
      <c r="B555">
        <v>23</v>
      </c>
      <c r="C555">
        <v>2</v>
      </c>
      <c r="D555">
        <v>16</v>
      </c>
      <c r="E555">
        <v>1998</v>
      </c>
      <c r="F555">
        <v>27</v>
      </c>
      <c r="G555">
        <v>491.4</v>
      </c>
    </row>
    <row r="556" spans="1:7" x14ac:dyDescent="0.25">
      <c r="A556">
        <v>52</v>
      </c>
      <c r="B556">
        <v>4</v>
      </c>
      <c r="C556">
        <v>1</v>
      </c>
      <c r="D556">
        <v>21</v>
      </c>
      <c r="E556">
        <v>2007</v>
      </c>
      <c r="F556">
        <v>18</v>
      </c>
      <c r="G556">
        <v>492.75</v>
      </c>
    </row>
    <row r="557" spans="1:7" x14ac:dyDescent="0.25">
      <c r="A557">
        <v>52</v>
      </c>
      <c r="B557">
        <v>10</v>
      </c>
      <c r="C557">
        <v>5</v>
      </c>
      <c r="D557">
        <v>21</v>
      </c>
      <c r="E557">
        <v>2010</v>
      </c>
      <c r="F557">
        <v>15</v>
      </c>
      <c r="G557">
        <v>496.65</v>
      </c>
    </row>
    <row r="558" spans="1:7" x14ac:dyDescent="0.25">
      <c r="A558">
        <v>65</v>
      </c>
      <c r="B558">
        <v>33</v>
      </c>
      <c r="C558">
        <v>4</v>
      </c>
      <c r="D558">
        <v>20</v>
      </c>
      <c r="E558">
        <v>1991</v>
      </c>
      <c r="F558">
        <v>34</v>
      </c>
      <c r="G558">
        <v>487.5</v>
      </c>
    </row>
    <row r="559" spans="1:7" x14ac:dyDescent="0.25">
      <c r="A559">
        <v>53</v>
      </c>
      <c r="B559">
        <v>23</v>
      </c>
      <c r="C559">
        <v>4</v>
      </c>
      <c r="D559">
        <v>13</v>
      </c>
      <c r="E559">
        <v>2025</v>
      </c>
      <c r="F559">
        <v>0</v>
      </c>
      <c r="G559">
        <v>489.15</v>
      </c>
    </row>
    <row r="560" spans="1:7" x14ac:dyDescent="0.25">
      <c r="A560">
        <v>35</v>
      </c>
      <c r="B560">
        <v>14</v>
      </c>
      <c r="C560">
        <v>3</v>
      </c>
      <c r="D560">
        <v>12</v>
      </c>
      <c r="E560">
        <v>2004</v>
      </c>
      <c r="F560">
        <v>21</v>
      </c>
      <c r="G560">
        <v>496</v>
      </c>
    </row>
    <row r="561" spans="1:7" x14ac:dyDescent="0.25">
      <c r="A561">
        <v>56</v>
      </c>
      <c r="B561">
        <v>37</v>
      </c>
      <c r="C561">
        <v>1</v>
      </c>
      <c r="D561">
        <v>16</v>
      </c>
      <c r="E561">
        <v>2017</v>
      </c>
      <c r="F561">
        <v>8</v>
      </c>
      <c r="G561">
        <v>480.8</v>
      </c>
    </row>
    <row r="562" spans="1:7" x14ac:dyDescent="0.25">
      <c r="A562">
        <v>49</v>
      </c>
      <c r="B562">
        <v>7</v>
      </c>
      <c r="C562">
        <v>2</v>
      </c>
      <c r="D562">
        <v>21</v>
      </c>
      <c r="E562">
        <v>2007</v>
      </c>
      <c r="F562">
        <v>18</v>
      </c>
      <c r="G562">
        <v>493.95</v>
      </c>
    </row>
    <row r="563" spans="1:7" x14ac:dyDescent="0.25">
      <c r="A563">
        <v>41</v>
      </c>
      <c r="B563">
        <v>4</v>
      </c>
      <c r="C563">
        <v>1</v>
      </c>
      <c r="D563">
        <v>23</v>
      </c>
      <c r="E563">
        <v>2023</v>
      </c>
      <c r="F563">
        <v>2</v>
      </c>
      <c r="G563">
        <v>493.45</v>
      </c>
    </row>
    <row r="564" spans="1:7" x14ac:dyDescent="0.25">
      <c r="A564">
        <v>40</v>
      </c>
      <c r="B564">
        <v>22</v>
      </c>
      <c r="C564">
        <v>0</v>
      </c>
      <c r="D564">
        <v>25</v>
      </c>
      <c r="E564">
        <v>2011</v>
      </c>
      <c r="F564">
        <v>14</v>
      </c>
      <c r="G564">
        <v>488.05</v>
      </c>
    </row>
    <row r="565" spans="1:7" x14ac:dyDescent="0.25">
      <c r="A565">
        <v>49</v>
      </c>
      <c r="B565">
        <v>17</v>
      </c>
      <c r="C565">
        <v>1</v>
      </c>
      <c r="D565">
        <v>15</v>
      </c>
      <c r="E565">
        <v>2000</v>
      </c>
      <c r="F565">
        <v>25</v>
      </c>
      <c r="G565">
        <v>489.85</v>
      </c>
    </row>
    <row r="566" spans="1:7" x14ac:dyDescent="0.25">
      <c r="A566">
        <v>54</v>
      </c>
      <c r="B566">
        <v>5</v>
      </c>
      <c r="C566">
        <v>0</v>
      </c>
      <c r="D566">
        <v>24</v>
      </c>
      <c r="E566">
        <v>2002</v>
      </c>
      <c r="F566">
        <v>23</v>
      </c>
      <c r="G566">
        <v>491.2</v>
      </c>
    </row>
    <row r="567" spans="1:7" x14ac:dyDescent="0.25">
      <c r="A567">
        <v>29</v>
      </c>
      <c r="B567">
        <v>11</v>
      </c>
      <c r="C567">
        <v>0</v>
      </c>
      <c r="D567">
        <v>20</v>
      </c>
      <c r="E567">
        <v>1993</v>
      </c>
      <c r="F567">
        <v>32</v>
      </c>
      <c r="G567">
        <v>495.1</v>
      </c>
    </row>
    <row r="568" spans="1:7" x14ac:dyDescent="0.25">
      <c r="A568">
        <v>30</v>
      </c>
      <c r="B568">
        <v>12</v>
      </c>
      <c r="C568">
        <v>2</v>
      </c>
      <c r="D568">
        <v>15</v>
      </c>
      <c r="E568">
        <v>2011</v>
      </c>
      <c r="F568">
        <v>14</v>
      </c>
      <c r="G568">
        <v>495.55</v>
      </c>
    </row>
    <row r="569" spans="1:7" x14ac:dyDescent="0.25">
      <c r="A569">
        <v>40</v>
      </c>
      <c r="B569">
        <v>22</v>
      </c>
      <c r="C569">
        <v>5</v>
      </c>
      <c r="D569">
        <v>20</v>
      </c>
      <c r="E569">
        <v>1996</v>
      </c>
      <c r="F569">
        <v>29</v>
      </c>
      <c r="G569">
        <v>496.8</v>
      </c>
    </row>
    <row r="570" spans="1:7" x14ac:dyDescent="0.25">
      <c r="A570">
        <v>42</v>
      </c>
      <c r="B570">
        <v>4</v>
      </c>
      <c r="C570">
        <v>3</v>
      </c>
      <c r="D570">
        <v>23</v>
      </c>
      <c r="E570">
        <v>2013</v>
      </c>
      <c r="F570">
        <v>12</v>
      </c>
      <c r="G570">
        <v>497.25</v>
      </c>
    </row>
    <row r="571" spans="1:7" x14ac:dyDescent="0.25">
      <c r="A571">
        <v>52</v>
      </c>
      <c r="B571">
        <v>12</v>
      </c>
      <c r="C571">
        <v>1</v>
      </c>
      <c r="D571">
        <v>15</v>
      </c>
      <c r="E571">
        <v>1993</v>
      </c>
      <c r="F571">
        <v>32</v>
      </c>
      <c r="G571">
        <v>491.45</v>
      </c>
    </row>
    <row r="572" spans="1:7" x14ac:dyDescent="0.25">
      <c r="A572">
        <v>58</v>
      </c>
      <c r="B572">
        <v>16</v>
      </c>
      <c r="C572">
        <v>0</v>
      </c>
      <c r="D572">
        <v>20</v>
      </c>
      <c r="E572">
        <v>2017</v>
      </c>
      <c r="F572">
        <v>8</v>
      </c>
      <c r="G572">
        <v>485.4</v>
      </c>
    </row>
    <row r="573" spans="1:7" x14ac:dyDescent="0.25">
      <c r="A573">
        <v>47</v>
      </c>
      <c r="B573">
        <v>29</v>
      </c>
      <c r="C573">
        <v>1</v>
      </c>
      <c r="D573">
        <v>22</v>
      </c>
      <c r="E573">
        <v>2004</v>
      </c>
      <c r="F573">
        <v>21</v>
      </c>
      <c r="G573">
        <v>486.6</v>
      </c>
    </row>
    <row r="574" spans="1:7" x14ac:dyDescent="0.25">
      <c r="A574">
        <v>34</v>
      </c>
      <c r="B574">
        <v>16</v>
      </c>
      <c r="C574">
        <v>5</v>
      </c>
      <c r="D574">
        <v>15</v>
      </c>
      <c r="E574">
        <v>1990</v>
      </c>
      <c r="F574">
        <v>35</v>
      </c>
      <c r="G574">
        <v>500.15</v>
      </c>
    </row>
    <row r="575" spans="1:7" x14ac:dyDescent="0.25">
      <c r="A575">
        <v>37</v>
      </c>
      <c r="B575">
        <v>19</v>
      </c>
      <c r="C575">
        <v>3</v>
      </c>
      <c r="D575">
        <v>13</v>
      </c>
      <c r="E575">
        <v>1992</v>
      </c>
      <c r="F575">
        <v>33</v>
      </c>
      <c r="G575">
        <v>495.35</v>
      </c>
    </row>
    <row r="576" spans="1:7" x14ac:dyDescent="0.25">
      <c r="A576">
        <v>65</v>
      </c>
      <c r="B576">
        <v>2</v>
      </c>
      <c r="C576">
        <v>5</v>
      </c>
      <c r="D576">
        <v>17</v>
      </c>
      <c r="E576">
        <v>2003</v>
      </c>
      <c r="F576">
        <v>22</v>
      </c>
      <c r="G576">
        <v>496.95</v>
      </c>
    </row>
    <row r="577" spans="1:7" x14ac:dyDescent="0.25">
      <c r="A577">
        <v>42</v>
      </c>
      <c r="B577">
        <v>24</v>
      </c>
      <c r="C577">
        <v>3</v>
      </c>
      <c r="D577">
        <v>16</v>
      </c>
      <c r="E577">
        <v>1990</v>
      </c>
      <c r="F577">
        <v>35</v>
      </c>
      <c r="G577">
        <v>493.2</v>
      </c>
    </row>
    <row r="578" spans="1:7" x14ac:dyDescent="0.25">
      <c r="A578">
        <v>39</v>
      </c>
      <c r="B578">
        <v>21</v>
      </c>
      <c r="C578">
        <v>4</v>
      </c>
      <c r="D578">
        <v>14</v>
      </c>
      <c r="E578">
        <v>2010</v>
      </c>
      <c r="F578">
        <v>15</v>
      </c>
      <c r="G578">
        <v>494.1</v>
      </c>
    </row>
    <row r="579" spans="1:7" x14ac:dyDescent="0.25">
      <c r="A579">
        <v>30</v>
      </c>
      <c r="B579">
        <v>12</v>
      </c>
      <c r="C579">
        <v>3</v>
      </c>
      <c r="D579">
        <v>12</v>
      </c>
      <c r="E579">
        <v>2018</v>
      </c>
      <c r="F579">
        <v>7</v>
      </c>
      <c r="G579">
        <v>496.2</v>
      </c>
    </row>
    <row r="580" spans="1:7" x14ac:dyDescent="0.25">
      <c r="A580">
        <v>36</v>
      </c>
      <c r="B580">
        <v>18</v>
      </c>
      <c r="C580">
        <v>2</v>
      </c>
      <c r="D580">
        <v>22</v>
      </c>
      <c r="E580">
        <v>1994</v>
      </c>
      <c r="F580">
        <v>31</v>
      </c>
      <c r="G580">
        <v>494.6</v>
      </c>
    </row>
    <row r="581" spans="1:7" x14ac:dyDescent="0.25">
      <c r="A581">
        <v>53</v>
      </c>
      <c r="B581">
        <v>12</v>
      </c>
      <c r="C581">
        <v>5</v>
      </c>
      <c r="D581">
        <v>19</v>
      </c>
      <c r="E581">
        <v>1999</v>
      </c>
      <c r="F581">
        <v>26</v>
      </c>
      <c r="G581">
        <v>496.85</v>
      </c>
    </row>
    <row r="582" spans="1:7" x14ac:dyDescent="0.25">
      <c r="A582">
        <v>29</v>
      </c>
      <c r="B582">
        <v>11</v>
      </c>
      <c r="C582">
        <v>0</v>
      </c>
      <c r="D582">
        <v>11</v>
      </c>
      <c r="E582">
        <v>2017</v>
      </c>
      <c r="F582">
        <v>8</v>
      </c>
      <c r="G582">
        <v>492.25</v>
      </c>
    </row>
    <row r="583" spans="1:7" x14ac:dyDescent="0.25">
      <c r="A583">
        <v>58</v>
      </c>
      <c r="B583">
        <v>5</v>
      </c>
      <c r="C583">
        <v>4</v>
      </c>
      <c r="D583">
        <v>23</v>
      </c>
      <c r="E583">
        <v>2010</v>
      </c>
      <c r="F583">
        <v>15</v>
      </c>
      <c r="G583">
        <v>495.55</v>
      </c>
    </row>
    <row r="584" spans="1:7" x14ac:dyDescent="0.25">
      <c r="A584">
        <v>36</v>
      </c>
      <c r="B584">
        <v>18</v>
      </c>
      <c r="C584">
        <v>2</v>
      </c>
      <c r="D584">
        <v>23</v>
      </c>
      <c r="E584">
        <v>1996</v>
      </c>
      <c r="F584">
        <v>29</v>
      </c>
      <c r="G584">
        <v>494.45</v>
      </c>
    </row>
    <row r="585" spans="1:7" x14ac:dyDescent="0.25">
      <c r="A585">
        <v>29</v>
      </c>
      <c r="B585">
        <v>11</v>
      </c>
      <c r="C585">
        <v>1</v>
      </c>
      <c r="D585">
        <v>21</v>
      </c>
      <c r="E585">
        <v>1992</v>
      </c>
      <c r="F585">
        <v>33</v>
      </c>
      <c r="G585">
        <v>496.75</v>
      </c>
    </row>
    <row r="586" spans="1:7" x14ac:dyDescent="0.25">
      <c r="A586">
        <v>26</v>
      </c>
      <c r="B586">
        <v>8</v>
      </c>
      <c r="C586">
        <v>5</v>
      </c>
      <c r="D586">
        <v>25</v>
      </c>
      <c r="E586">
        <v>2009</v>
      </c>
      <c r="F586">
        <v>16</v>
      </c>
      <c r="G586">
        <v>502.75</v>
      </c>
    </row>
    <row r="587" spans="1:7" x14ac:dyDescent="0.25">
      <c r="A587">
        <v>24</v>
      </c>
      <c r="B587">
        <v>6</v>
      </c>
      <c r="C587">
        <v>0</v>
      </c>
      <c r="D587">
        <v>24</v>
      </c>
      <c r="E587">
        <v>2008</v>
      </c>
      <c r="F587">
        <v>17</v>
      </c>
      <c r="G587">
        <v>496.3</v>
      </c>
    </row>
    <row r="588" spans="1:7" x14ac:dyDescent="0.25">
      <c r="A588">
        <v>45</v>
      </c>
      <c r="B588">
        <v>27</v>
      </c>
      <c r="C588">
        <v>3</v>
      </c>
      <c r="D588">
        <v>14</v>
      </c>
      <c r="E588">
        <v>2024</v>
      </c>
      <c r="F588">
        <v>1</v>
      </c>
      <c r="G588">
        <v>488.2</v>
      </c>
    </row>
    <row r="589" spans="1:7" x14ac:dyDescent="0.25">
      <c r="A589">
        <v>31</v>
      </c>
      <c r="B589">
        <v>13</v>
      </c>
      <c r="C589">
        <v>0</v>
      </c>
      <c r="D589">
        <v>11</v>
      </c>
      <c r="E589">
        <v>1993</v>
      </c>
      <c r="F589">
        <v>32</v>
      </c>
      <c r="G589">
        <v>493.65</v>
      </c>
    </row>
    <row r="590" spans="1:7" x14ac:dyDescent="0.25">
      <c r="A590">
        <v>48</v>
      </c>
      <c r="B590">
        <v>30</v>
      </c>
      <c r="C590">
        <v>1</v>
      </c>
      <c r="D590">
        <v>23</v>
      </c>
      <c r="E590">
        <v>1994</v>
      </c>
      <c r="F590">
        <v>31</v>
      </c>
      <c r="G590">
        <v>487.15</v>
      </c>
    </row>
    <row r="591" spans="1:7" x14ac:dyDescent="0.25">
      <c r="A591">
        <v>36</v>
      </c>
      <c r="B591">
        <v>12</v>
      </c>
      <c r="C591">
        <v>4</v>
      </c>
      <c r="D591">
        <v>16</v>
      </c>
      <c r="E591">
        <v>1990</v>
      </c>
      <c r="F591">
        <v>35</v>
      </c>
      <c r="G591">
        <v>499.5</v>
      </c>
    </row>
    <row r="592" spans="1:7" x14ac:dyDescent="0.25">
      <c r="A592">
        <v>64</v>
      </c>
      <c r="B592">
        <v>24</v>
      </c>
      <c r="C592">
        <v>4</v>
      </c>
      <c r="D592">
        <v>14</v>
      </c>
      <c r="E592">
        <v>1993</v>
      </c>
      <c r="F592">
        <v>32</v>
      </c>
      <c r="G592">
        <v>489.9</v>
      </c>
    </row>
    <row r="593" spans="1:7" x14ac:dyDescent="0.25">
      <c r="A593">
        <v>33</v>
      </c>
      <c r="B593">
        <v>15</v>
      </c>
      <c r="C593">
        <v>5</v>
      </c>
      <c r="D593">
        <v>15</v>
      </c>
      <c r="E593">
        <v>2001</v>
      </c>
      <c r="F593">
        <v>24</v>
      </c>
      <c r="G593">
        <v>499.55</v>
      </c>
    </row>
    <row r="594" spans="1:7" x14ac:dyDescent="0.25">
      <c r="A594">
        <v>22</v>
      </c>
      <c r="B594">
        <v>4</v>
      </c>
      <c r="C594">
        <v>4</v>
      </c>
      <c r="D594">
        <v>15</v>
      </c>
      <c r="E594">
        <v>2016</v>
      </c>
      <c r="F594">
        <v>9</v>
      </c>
      <c r="G594">
        <v>502.05</v>
      </c>
    </row>
    <row r="595" spans="1:7" x14ac:dyDescent="0.25">
      <c r="A595">
        <v>52</v>
      </c>
      <c r="B595">
        <v>34</v>
      </c>
      <c r="C595">
        <v>5</v>
      </c>
      <c r="D595">
        <v>19</v>
      </c>
      <c r="E595">
        <v>2012</v>
      </c>
      <c r="F595">
        <v>13</v>
      </c>
      <c r="G595">
        <v>489.15</v>
      </c>
    </row>
    <row r="596" spans="1:7" x14ac:dyDescent="0.25">
      <c r="A596">
        <v>29</v>
      </c>
      <c r="B596">
        <v>6</v>
      </c>
      <c r="C596">
        <v>5</v>
      </c>
      <c r="D596">
        <v>11</v>
      </c>
      <c r="E596">
        <v>2014</v>
      </c>
      <c r="F596">
        <v>11</v>
      </c>
      <c r="G596">
        <v>501.55</v>
      </c>
    </row>
    <row r="597" spans="1:7" x14ac:dyDescent="0.25">
      <c r="A597">
        <v>42</v>
      </c>
      <c r="B597">
        <v>4</v>
      </c>
      <c r="C597">
        <v>5</v>
      </c>
      <c r="D597">
        <v>23</v>
      </c>
      <c r="E597">
        <v>2010</v>
      </c>
      <c r="F597">
        <v>15</v>
      </c>
      <c r="G597">
        <v>500.55</v>
      </c>
    </row>
    <row r="598" spans="1:7" x14ac:dyDescent="0.25">
      <c r="A598">
        <v>38</v>
      </c>
      <c r="B598">
        <v>20</v>
      </c>
      <c r="C598">
        <v>3</v>
      </c>
      <c r="D598">
        <v>12</v>
      </c>
      <c r="E598">
        <v>2013</v>
      </c>
      <c r="F598">
        <v>12</v>
      </c>
      <c r="G598">
        <v>492.7</v>
      </c>
    </row>
    <row r="599" spans="1:7" x14ac:dyDescent="0.25">
      <c r="A599">
        <v>53</v>
      </c>
      <c r="B599">
        <v>22</v>
      </c>
      <c r="C599">
        <v>2</v>
      </c>
      <c r="D599">
        <v>23</v>
      </c>
      <c r="E599">
        <v>2014</v>
      </c>
      <c r="F599">
        <v>11</v>
      </c>
      <c r="G599">
        <v>488.05</v>
      </c>
    </row>
    <row r="600" spans="1:7" x14ac:dyDescent="0.25">
      <c r="A600">
        <v>40</v>
      </c>
      <c r="B600">
        <v>9</v>
      </c>
      <c r="C600">
        <v>5</v>
      </c>
      <c r="D600">
        <v>16</v>
      </c>
      <c r="E600">
        <v>2021</v>
      </c>
      <c r="F600">
        <v>4</v>
      </c>
      <c r="G600">
        <v>498</v>
      </c>
    </row>
    <row r="601" spans="1:7" x14ac:dyDescent="0.25">
      <c r="A601">
        <v>33</v>
      </c>
      <c r="B601">
        <v>15</v>
      </c>
      <c r="C601">
        <v>5</v>
      </c>
      <c r="D601">
        <v>15</v>
      </c>
      <c r="E601">
        <v>2021</v>
      </c>
      <c r="F601">
        <v>4</v>
      </c>
      <c r="G601">
        <v>497.55</v>
      </c>
    </row>
    <row r="602" spans="1:7" x14ac:dyDescent="0.25">
      <c r="A602">
        <v>56</v>
      </c>
      <c r="B602">
        <v>29</v>
      </c>
      <c r="C602">
        <v>2</v>
      </c>
      <c r="D602">
        <v>21</v>
      </c>
      <c r="E602">
        <v>1994</v>
      </c>
      <c r="F602">
        <v>31</v>
      </c>
      <c r="G602">
        <v>487.25</v>
      </c>
    </row>
    <row r="603" spans="1:7" x14ac:dyDescent="0.25">
      <c r="A603">
        <v>62</v>
      </c>
      <c r="B603">
        <v>38</v>
      </c>
      <c r="C603">
        <v>0</v>
      </c>
      <c r="D603">
        <v>17</v>
      </c>
      <c r="E603">
        <v>2025</v>
      </c>
      <c r="F603">
        <v>0</v>
      </c>
      <c r="G603">
        <v>477.05</v>
      </c>
    </row>
    <row r="604" spans="1:7" x14ac:dyDescent="0.25">
      <c r="A604">
        <v>59</v>
      </c>
      <c r="B604">
        <v>30</v>
      </c>
      <c r="C604">
        <v>5</v>
      </c>
      <c r="D604">
        <v>13</v>
      </c>
      <c r="E604">
        <v>2005</v>
      </c>
      <c r="F604">
        <v>20</v>
      </c>
      <c r="G604">
        <v>489.35</v>
      </c>
    </row>
    <row r="605" spans="1:7" x14ac:dyDescent="0.25">
      <c r="A605">
        <v>56</v>
      </c>
      <c r="B605">
        <v>17</v>
      </c>
      <c r="C605">
        <v>3</v>
      </c>
      <c r="D605">
        <v>13</v>
      </c>
      <c r="E605">
        <v>2022</v>
      </c>
      <c r="F605">
        <v>3</v>
      </c>
      <c r="G605">
        <v>489.15</v>
      </c>
    </row>
    <row r="606" spans="1:7" x14ac:dyDescent="0.25">
      <c r="A606">
        <v>31</v>
      </c>
      <c r="B606">
        <v>13</v>
      </c>
      <c r="C606">
        <v>4</v>
      </c>
      <c r="D606">
        <v>20</v>
      </c>
      <c r="E606">
        <v>2010</v>
      </c>
      <c r="F606">
        <v>15</v>
      </c>
      <c r="G606">
        <v>498.4</v>
      </c>
    </row>
    <row r="607" spans="1:7" x14ac:dyDescent="0.25">
      <c r="A607">
        <v>48</v>
      </c>
      <c r="B607">
        <v>1</v>
      </c>
      <c r="C607">
        <v>4</v>
      </c>
      <c r="D607">
        <v>12</v>
      </c>
      <c r="E607">
        <v>1998</v>
      </c>
      <c r="F607">
        <v>27</v>
      </c>
      <c r="G607">
        <v>499.4</v>
      </c>
    </row>
    <row r="608" spans="1:7" x14ac:dyDescent="0.25">
      <c r="A608">
        <v>22</v>
      </c>
      <c r="B608">
        <v>4</v>
      </c>
      <c r="C608">
        <v>1</v>
      </c>
      <c r="D608">
        <v>23</v>
      </c>
      <c r="E608">
        <v>1995</v>
      </c>
      <c r="F608">
        <v>30</v>
      </c>
      <c r="G608">
        <v>500.05</v>
      </c>
    </row>
    <row r="609" spans="1:7" x14ac:dyDescent="0.25">
      <c r="A609">
        <v>52</v>
      </c>
      <c r="B609">
        <v>12</v>
      </c>
      <c r="C609">
        <v>1</v>
      </c>
      <c r="D609">
        <v>13</v>
      </c>
      <c r="E609">
        <v>2024</v>
      </c>
      <c r="F609">
        <v>1</v>
      </c>
      <c r="G609">
        <v>488.25</v>
      </c>
    </row>
    <row r="610" spans="1:7" x14ac:dyDescent="0.25">
      <c r="A610">
        <v>40</v>
      </c>
      <c r="B610">
        <v>22</v>
      </c>
      <c r="C610">
        <v>4</v>
      </c>
      <c r="D610">
        <v>20</v>
      </c>
      <c r="E610">
        <v>2011</v>
      </c>
      <c r="F610">
        <v>14</v>
      </c>
      <c r="G610">
        <v>493.8</v>
      </c>
    </row>
    <row r="611" spans="1:7" x14ac:dyDescent="0.25">
      <c r="A611">
        <v>46</v>
      </c>
      <c r="B611">
        <v>11</v>
      </c>
      <c r="C611">
        <v>4</v>
      </c>
      <c r="D611">
        <v>11</v>
      </c>
      <c r="E611">
        <v>1994</v>
      </c>
      <c r="F611">
        <v>31</v>
      </c>
      <c r="G611">
        <v>497.15</v>
      </c>
    </row>
    <row r="612" spans="1:7" x14ac:dyDescent="0.25">
      <c r="A612">
        <v>60</v>
      </c>
      <c r="B612">
        <v>38</v>
      </c>
      <c r="C612">
        <v>3</v>
      </c>
      <c r="D612">
        <v>15</v>
      </c>
      <c r="E612">
        <v>2012</v>
      </c>
      <c r="F612">
        <v>13</v>
      </c>
      <c r="G612">
        <v>483.15</v>
      </c>
    </row>
    <row r="613" spans="1:7" x14ac:dyDescent="0.25">
      <c r="A613">
        <v>28</v>
      </c>
      <c r="B613">
        <v>1</v>
      </c>
      <c r="C613">
        <v>2</v>
      </c>
      <c r="D613">
        <v>24</v>
      </c>
      <c r="E613">
        <v>2006</v>
      </c>
      <c r="F613">
        <v>19</v>
      </c>
      <c r="G613">
        <v>500.2</v>
      </c>
    </row>
    <row r="614" spans="1:7" x14ac:dyDescent="0.25">
      <c r="A614">
        <v>35</v>
      </c>
      <c r="B614">
        <v>17</v>
      </c>
      <c r="C614">
        <v>1</v>
      </c>
      <c r="D614">
        <v>25</v>
      </c>
      <c r="E614">
        <v>2001</v>
      </c>
      <c r="F614">
        <v>24</v>
      </c>
      <c r="G614">
        <v>493.05</v>
      </c>
    </row>
    <row r="615" spans="1:7" x14ac:dyDescent="0.25">
      <c r="A615">
        <v>64</v>
      </c>
      <c r="B615">
        <v>12</v>
      </c>
      <c r="C615">
        <v>2</v>
      </c>
      <c r="D615">
        <v>22</v>
      </c>
      <c r="E615">
        <v>2012</v>
      </c>
      <c r="F615">
        <v>13</v>
      </c>
      <c r="G615">
        <v>489</v>
      </c>
    </row>
    <row r="616" spans="1:7" x14ac:dyDescent="0.25">
      <c r="A616">
        <v>29</v>
      </c>
      <c r="B616">
        <v>11</v>
      </c>
      <c r="C616">
        <v>3</v>
      </c>
      <c r="D616">
        <v>15</v>
      </c>
      <c r="E616">
        <v>2005</v>
      </c>
      <c r="F616">
        <v>20</v>
      </c>
      <c r="G616">
        <v>498.15</v>
      </c>
    </row>
    <row r="617" spans="1:7" x14ac:dyDescent="0.25">
      <c r="A617">
        <v>26</v>
      </c>
      <c r="B617">
        <v>8</v>
      </c>
      <c r="C617">
        <v>4</v>
      </c>
      <c r="D617">
        <v>22</v>
      </c>
      <c r="E617">
        <v>1992</v>
      </c>
      <c r="F617">
        <v>33</v>
      </c>
      <c r="G617">
        <v>502.8</v>
      </c>
    </row>
    <row r="618" spans="1:7" x14ac:dyDescent="0.25">
      <c r="A618">
        <v>27</v>
      </c>
      <c r="B618">
        <v>9</v>
      </c>
      <c r="C618">
        <v>5</v>
      </c>
      <c r="D618">
        <v>21</v>
      </c>
      <c r="E618">
        <v>2019</v>
      </c>
      <c r="F618">
        <v>6</v>
      </c>
      <c r="G618">
        <v>501.05</v>
      </c>
    </row>
    <row r="619" spans="1:7" x14ac:dyDescent="0.25">
      <c r="A619">
        <v>61</v>
      </c>
      <c r="B619">
        <v>39</v>
      </c>
      <c r="C619">
        <v>2</v>
      </c>
      <c r="D619">
        <v>17</v>
      </c>
      <c r="E619">
        <v>2011</v>
      </c>
      <c r="F619">
        <v>14</v>
      </c>
      <c r="G619">
        <v>481.35</v>
      </c>
    </row>
    <row r="620" spans="1:7" x14ac:dyDescent="0.25">
      <c r="A620">
        <v>34</v>
      </c>
      <c r="B620">
        <v>16</v>
      </c>
      <c r="C620">
        <v>4</v>
      </c>
      <c r="D620">
        <v>14</v>
      </c>
      <c r="E620">
        <v>1998</v>
      </c>
      <c r="F620">
        <v>27</v>
      </c>
      <c r="G620">
        <v>497.8</v>
      </c>
    </row>
    <row r="621" spans="1:7" x14ac:dyDescent="0.25">
      <c r="A621">
        <v>55</v>
      </c>
      <c r="B621">
        <v>33</v>
      </c>
      <c r="C621">
        <v>4</v>
      </c>
      <c r="D621">
        <v>13</v>
      </c>
      <c r="E621">
        <v>2018</v>
      </c>
      <c r="F621">
        <v>7</v>
      </c>
      <c r="G621">
        <v>486.45</v>
      </c>
    </row>
    <row r="622" spans="1:7" x14ac:dyDescent="0.25">
      <c r="A622">
        <v>24</v>
      </c>
      <c r="B622">
        <v>6</v>
      </c>
      <c r="C622">
        <v>0</v>
      </c>
      <c r="D622">
        <v>11</v>
      </c>
      <c r="E622">
        <v>2012</v>
      </c>
      <c r="F622">
        <v>13</v>
      </c>
      <c r="G622">
        <v>495.25</v>
      </c>
    </row>
    <row r="623" spans="1:7" x14ac:dyDescent="0.25">
      <c r="A623">
        <v>63</v>
      </c>
      <c r="B623">
        <v>34</v>
      </c>
      <c r="C623">
        <v>2</v>
      </c>
      <c r="D623">
        <v>22</v>
      </c>
      <c r="E623">
        <v>2002</v>
      </c>
      <c r="F623">
        <v>23</v>
      </c>
      <c r="G623">
        <v>483.6</v>
      </c>
    </row>
    <row r="624" spans="1:7" x14ac:dyDescent="0.25">
      <c r="A624">
        <v>30</v>
      </c>
      <c r="B624">
        <v>5</v>
      </c>
      <c r="C624">
        <v>5</v>
      </c>
      <c r="D624">
        <v>25</v>
      </c>
      <c r="E624">
        <v>2021</v>
      </c>
      <c r="F624">
        <v>4</v>
      </c>
      <c r="G624">
        <v>501.65</v>
      </c>
    </row>
    <row r="625" spans="1:7" x14ac:dyDescent="0.25">
      <c r="A625">
        <v>57</v>
      </c>
      <c r="B625">
        <v>18</v>
      </c>
      <c r="C625">
        <v>2</v>
      </c>
      <c r="D625">
        <v>18</v>
      </c>
      <c r="E625">
        <v>2012</v>
      </c>
      <c r="F625">
        <v>13</v>
      </c>
      <c r="G625">
        <v>488.4</v>
      </c>
    </row>
    <row r="626" spans="1:7" x14ac:dyDescent="0.25">
      <c r="A626">
        <v>59</v>
      </c>
      <c r="B626">
        <v>29</v>
      </c>
      <c r="C626">
        <v>4</v>
      </c>
      <c r="D626">
        <v>23</v>
      </c>
      <c r="E626">
        <v>2006</v>
      </c>
      <c r="F626">
        <v>19</v>
      </c>
      <c r="G626">
        <v>488.55</v>
      </c>
    </row>
    <row r="627" spans="1:7" x14ac:dyDescent="0.25">
      <c r="A627">
        <v>26</v>
      </c>
      <c r="B627">
        <v>6</v>
      </c>
      <c r="C627">
        <v>5</v>
      </c>
      <c r="D627">
        <v>13</v>
      </c>
      <c r="E627">
        <v>2010</v>
      </c>
      <c r="F627">
        <v>15</v>
      </c>
      <c r="G627">
        <v>502.65</v>
      </c>
    </row>
    <row r="628" spans="1:7" x14ac:dyDescent="0.25">
      <c r="A628">
        <v>44</v>
      </c>
      <c r="B628">
        <v>9</v>
      </c>
      <c r="C628">
        <v>3</v>
      </c>
      <c r="D628">
        <v>23</v>
      </c>
      <c r="E628">
        <v>1991</v>
      </c>
      <c r="F628">
        <v>34</v>
      </c>
      <c r="G628">
        <v>497.55</v>
      </c>
    </row>
    <row r="629" spans="1:7" x14ac:dyDescent="0.25">
      <c r="A629">
        <v>19</v>
      </c>
      <c r="B629">
        <v>1</v>
      </c>
      <c r="C629">
        <v>0</v>
      </c>
      <c r="D629">
        <v>25</v>
      </c>
      <c r="E629">
        <v>1995</v>
      </c>
      <c r="F629">
        <v>30</v>
      </c>
      <c r="G629">
        <v>500.15</v>
      </c>
    </row>
    <row r="630" spans="1:7" x14ac:dyDescent="0.25">
      <c r="A630">
        <v>22</v>
      </c>
      <c r="B630">
        <v>4</v>
      </c>
      <c r="C630">
        <v>4</v>
      </c>
      <c r="D630">
        <v>12</v>
      </c>
      <c r="E630">
        <v>2007</v>
      </c>
      <c r="F630">
        <v>18</v>
      </c>
      <c r="G630">
        <v>502.8</v>
      </c>
    </row>
    <row r="631" spans="1:7" x14ac:dyDescent="0.25">
      <c r="A631">
        <v>46</v>
      </c>
      <c r="B631">
        <v>28</v>
      </c>
      <c r="C631">
        <v>1</v>
      </c>
      <c r="D631">
        <v>21</v>
      </c>
      <c r="E631">
        <v>2019</v>
      </c>
      <c r="F631">
        <v>6</v>
      </c>
      <c r="G631">
        <v>485.55</v>
      </c>
    </row>
    <row r="632" spans="1:7" x14ac:dyDescent="0.25">
      <c r="A632">
        <v>54</v>
      </c>
      <c r="B632">
        <v>27</v>
      </c>
      <c r="C632">
        <v>1</v>
      </c>
      <c r="D632">
        <v>14</v>
      </c>
      <c r="E632">
        <v>2011</v>
      </c>
      <c r="F632">
        <v>14</v>
      </c>
      <c r="G632">
        <v>484.7</v>
      </c>
    </row>
    <row r="633" spans="1:7" x14ac:dyDescent="0.25">
      <c r="A633">
        <v>55</v>
      </c>
      <c r="B633">
        <v>14</v>
      </c>
      <c r="C633">
        <v>0</v>
      </c>
      <c r="D633">
        <v>13</v>
      </c>
      <c r="E633">
        <v>2022</v>
      </c>
      <c r="F633">
        <v>3</v>
      </c>
      <c r="G633">
        <v>485.75</v>
      </c>
    </row>
    <row r="634" spans="1:7" x14ac:dyDescent="0.25">
      <c r="A634">
        <v>36</v>
      </c>
      <c r="B634">
        <v>18</v>
      </c>
      <c r="C634">
        <v>3</v>
      </c>
      <c r="D634">
        <v>23</v>
      </c>
      <c r="E634">
        <v>2019</v>
      </c>
      <c r="F634">
        <v>6</v>
      </c>
      <c r="G634">
        <v>493.65</v>
      </c>
    </row>
    <row r="635" spans="1:7" x14ac:dyDescent="0.25">
      <c r="A635">
        <v>25</v>
      </c>
      <c r="B635">
        <v>7</v>
      </c>
      <c r="C635">
        <v>4</v>
      </c>
      <c r="D635">
        <v>11</v>
      </c>
      <c r="E635">
        <v>2006</v>
      </c>
      <c r="F635">
        <v>19</v>
      </c>
      <c r="G635">
        <v>501.35</v>
      </c>
    </row>
    <row r="636" spans="1:7" x14ac:dyDescent="0.25">
      <c r="A636">
        <v>65</v>
      </c>
      <c r="B636">
        <v>28</v>
      </c>
      <c r="C636">
        <v>2</v>
      </c>
      <c r="D636">
        <v>13</v>
      </c>
      <c r="E636">
        <v>2021</v>
      </c>
      <c r="F636">
        <v>4</v>
      </c>
      <c r="G636">
        <v>482.65</v>
      </c>
    </row>
    <row r="637" spans="1:7" x14ac:dyDescent="0.25">
      <c r="A637">
        <v>62</v>
      </c>
      <c r="B637">
        <v>21</v>
      </c>
      <c r="C637">
        <v>0</v>
      </c>
      <c r="D637">
        <v>22</v>
      </c>
      <c r="E637">
        <v>2003</v>
      </c>
      <c r="F637">
        <v>22</v>
      </c>
      <c r="G637">
        <v>484.6</v>
      </c>
    </row>
    <row r="638" spans="1:7" x14ac:dyDescent="0.25">
      <c r="A638">
        <v>18</v>
      </c>
      <c r="B638">
        <v>0</v>
      </c>
      <c r="C638">
        <v>3</v>
      </c>
      <c r="D638">
        <v>12</v>
      </c>
      <c r="E638">
        <v>1999</v>
      </c>
      <c r="F638">
        <v>26</v>
      </c>
      <c r="G638">
        <v>504.1</v>
      </c>
    </row>
    <row r="639" spans="1:7" x14ac:dyDescent="0.25">
      <c r="A639">
        <v>39</v>
      </c>
      <c r="B639">
        <v>19</v>
      </c>
      <c r="C639">
        <v>2</v>
      </c>
      <c r="D639">
        <v>18</v>
      </c>
      <c r="E639">
        <v>2025</v>
      </c>
      <c r="F639">
        <v>0</v>
      </c>
      <c r="G639">
        <v>490.4</v>
      </c>
    </row>
    <row r="640" spans="1:7" x14ac:dyDescent="0.25">
      <c r="A640">
        <v>34</v>
      </c>
      <c r="B640">
        <v>16</v>
      </c>
      <c r="C640">
        <v>1</v>
      </c>
      <c r="D640">
        <v>16</v>
      </c>
      <c r="E640">
        <v>2023</v>
      </c>
      <c r="F640">
        <v>2</v>
      </c>
      <c r="G640">
        <v>490.9</v>
      </c>
    </row>
    <row r="641" spans="1:7" x14ac:dyDescent="0.25">
      <c r="A641">
        <v>24</v>
      </c>
      <c r="B641">
        <v>6</v>
      </c>
      <c r="C641">
        <v>1</v>
      </c>
      <c r="D641">
        <v>19</v>
      </c>
      <c r="E641">
        <v>1998</v>
      </c>
      <c r="F641">
        <v>27</v>
      </c>
      <c r="G641">
        <v>498.55</v>
      </c>
    </row>
    <row r="642" spans="1:7" x14ac:dyDescent="0.25">
      <c r="A642">
        <v>42</v>
      </c>
      <c r="B642">
        <v>3</v>
      </c>
      <c r="C642">
        <v>2</v>
      </c>
      <c r="D642">
        <v>18</v>
      </c>
      <c r="E642">
        <v>2017</v>
      </c>
      <c r="F642">
        <v>8</v>
      </c>
      <c r="G642">
        <v>495.4</v>
      </c>
    </row>
    <row r="643" spans="1:7" x14ac:dyDescent="0.25">
      <c r="A643">
        <v>62</v>
      </c>
      <c r="B643">
        <v>26</v>
      </c>
      <c r="C643">
        <v>0</v>
      </c>
      <c r="D643">
        <v>20</v>
      </c>
      <c r="E643">
        <v>2000</v>
      </c>
      <c r="F643">
        <v>25</v>
      </c>
      <c r="G643">
        <v>483.3</v>
      </c>
    </row>
    <row r="644" spans="1:7" x14ac:dyDescent="0.25">
      <c r="A644">
        <v>21</v>
      </c>
      <c r="B644">
        <v>3</v>
      </c>
      <c r="C644">
        <v>1</v>
      </c>
      <c r="D644">
        <v>13</v>
      </c>
      <c r="E644">
        <v>2003</v>
      </c>
      <c r="F644">
        <v>22</v>
      </c>
      <c r="G644">
        <v>499.25</v>
      </c>
    </row>
    <row r="645" spans="1:7" x14ac:dyDescent="0.25">
      <c r="A645">
        <v>53</v>
      </c>
      <c r="B645">
        <v>11</v>
      </c>
      <c r="C645">
        <v>4</v>
      </c>
      <c r="D645">
        <v>15</v>
      </c>
      <c r="E645">
        <v>2008</v>
      </c>
      <c r="F645">
        <v>17</v>
      </c>
      <c r="G645">
        <v>494.55</v>
      </c>
    </row>
    <row r="646" spans="1:7" x14ac:dyDescent="0.25">
      <c r="A646">
        <v>23</v>
      </c>
      <c r="B646">
        <v>5</v>
      </c>
      <c r="C646">
        <v>5</v>
      </c>
      <c r="D646">
        <v>17</v>
      </c>
      <c r="E646">
        <v>2004</v>
      </c>
      <c r="F646">
        <v>21</v>
      </c>
      <c r="G646">
        <v>504.35</v>
      </c>
    </row>
    <row r="647" spans="1:7" x14ac:dyDescent="0.25">
      <c r="A647">
        <v>48</v>
      </c>
      <c r="B647">
        <v>16</v>
      </c>
      <c r="C647">
        <v>2</v>
      </c>
      <c r="D647">
        <v>15</v>
      </c>
      <c r="E647">
        <v>2017</v>
      </c>
      <c r="F647">
        <v>8</v>
      </c>
      <c r="G647">
        <v>490.15</v>
      </c>
    </row>
    <row r="648" spans="1:7" x14ac:dyDescent="0.25">
      <c r="A648">
        <v>36</v>
      </c>
      <c r="B648">
        <v>9</v>
      </c>
      <c r="C648">
        <v>2</v>
      </c>
      <c r="D648">
        <v>18</v>
      </c>
      <c r="E648">
        <v>2013</v>
      </c>
      <c r="F648">
        <v>12</v>
      </c>
      <c r="G648">
        <v>495.2</v>
      </c>
    </row>
    <row r="649" spans="1:7" x14ac:dyDescent="0.25">
      <c r="A649">
        <v>61</v>
      </c>
      <c r="B649">
        <v>0</v>
      </c>
      <c r="C649">
        <v>1</v>
      </c>
      <c r="D649">
        <v>22</v>
      </c>
      <c r="E649">
        <v>1997</v>
      </c>
      <c r="F649">
        <v>28</v>
      </c>
      <c r="G649">
        <v>493.2</v>
      </c>
    </row>
    <row r="650" spans="1:7" x14ac:dyDescent="0.25">
      <c r="A650">
        <v>56</v>
      </c>
      <c r="B650">
        <v>21</v>
      </c>
      <c r="C650">
        <v>0</v>
      </c>
      <c r="D650">
        <v>15</v>
      </c>
      <c r="E650">
        <v>1998</v>
      </c>
      <c r="F650">
        <v>27</v>
      </c>
      <c r="G650">
        <v>485.95</v>
      </c>
    </row>
    <row r="651" spans="1:7" x14ac:dyDescent="0.25">
      <c r="A651">
        <v>44</v>
      </c>
      <c r="B651">
        <v>25</v>
      </c>
      <c r="C651">
        <v>4</v>
      </c>
      <c r="D651">
        <v>11</v>
      </c>
      <c r="E651">
        <v>2022</v>
      </c>
      <c r="F651">
        <v>3</v>
      </c>
      <c r="G651">
        <v>490.55</v>
      </c>
    </row>
    <row r="652" spans="1:7" x14ac:dyDescent="0.25">
      <c r="A652">
        <v>27</v>
      </c>
      <c r="B652">
        <v>9</v>
      </c>
      <c r="C652">
        <v>0</v>
      </c>
      <c r="D652">
        <v>15</v>
      </c>
      <c r="E652">
        <v>2022</v>
      </c>
      <c r="F652">
        <v>3</v>
      </c>
      <c r="G652">
        <v>492.95</v>
      </c>
    </row>
    <row r="653" spans="1:7" x14ac:dyDescent="0.25">
      <c r="A653">
        <v>43</v>
      </c>
      <c r="B653">
        <v>13</v>
      </c>
      <c r="C653">
        <v>3</v>
      </c>
      <c r="D653">
        <v>14</v>
      </c>
      <c r="E653">
        <v>2008</v>
      </c>
      <c r="F653">
        <v>17</v>
      </c>
      <c r="G653">
        <v>494.4</v>
      </c>
    </row>
    <row r="654" spans="1:7" x14ac:dyDescent="0.25">
      <c r="A654">
        <v>36</v>
      </c>
      <c r="B654">
        <v>18</v>
      </c>
      <c r="C654">
        <v>3</v>
      </c>
      <c r="D654">
        <v>16</v>
      </c>
      <c r="E654">
        <v>1992</v>
      </c>
      <c r="F654">
        <v>33</v>
      </c>
      <c r="G654">
        <v>496</v>
      </c>
    </row>
    <row r="655" spans="1:7" x14ac:dyDescent="0.25">
      <c r="A655">
        <v>56</v>
      </c>
      <c r="B655">
        <v>11</v>
      </c>
      <c r="C655">
        <v>5</v>
      </c>
      <c r="D655">
        <v>13</v>
      </c>
      <c r="E655">
        <v>1999</v>
      </c>
      <c r="F655">
        <v>26</v>
      </c>
      <c r="G655">
        <v>496.25</v>
      </c>
    </row>
    <row r="656" spans="1:7" x14ac:dyDescent="0.25">
      <c r="A656">
        <v>20</v>
      </c>
      <c r="B656">
        <v>2</v>
      </c>
      <c r="C656">
        <v>1</v>
      </c>
      <c r="D656">
        <v>25</v>
      </c>
      <c r="E656">
        <v>1990</v>
      </c>
      <c r="F656">
        <v>35</v>
      </c>
      <c r="G656">
        <v>501.65</v>
      </c>
    </row>
    <row r="657" spans="1:7" x14ac:dyDescent="0.25">
      <c r="A657">
        <v>62</v>
      </c>
      <c r="B657">
        <v>34</v>
      </c>
      <c r="C657">
        <v>1</v>
      </c>
      <c r="D657">
        <v>21</v>
      </c>
      <c r="E657">
        <v>2018</v>
      </c>
      <c r="F657">
        <v>7</v>
      </c>
      <c r="G657">
        <v>480.65</v>
      </c>
    </row>
    <row r="658" spans="1:7" x14ac:dyDescent="0.25">
      <c r="A658">
        <v>30</v>
      </c>
      <c r="B658">
        <v>11</v>
      </c>
      <c r="C658">
        <v>1</v>
      </c>
      <c r="D658">
        <v>15</v>
      </c>
      <c r="E658">
        <v>2023</v>
      </c>
      <c r="F658">
        <v>2</v>
      </c>
      <c r="G658">
        <v>493.15</v>
      </c>
    </row>
    <row r="659" spans="1:7" x14ac:dyDescent="0.25">
      <c r="A659">
        <v>45</v>
      </c>
      <c r="B659">
        <v>6</v>
      </c>
      <c r="C659">
        <v>5</v>
      </c>
      <c r="D659">
        <v>12</v>
      </c>
      <c r="E659">
        <v>2002</v>
      </c>
      <c r="F659">
        <v>23</v>
      </c>
      <c r="G659">
        <v>499.6</v>
      </c>
    </row>
    <row r="660" spans="1:7" x14ac:dyDescent="0.25">
      <c r="A660">
        <v>37</v>
      </c>
      <c r="B660">
        <v>19</v>
      </c>
      <c r="C660">
        <v>3</v>
      </c>
      <c r="D660">
        <v>21</v>
      </c>
      <c r="E660">
        <v>1990</v>
      </c>
      <c r="F660">
        <v>35</v>
      </c>
      <c r="G660">
        <v>495.95</v>
      </c>
    </row>
    <row r="661" spans="1:7" x14ac:dyDescent="0.25">
      <c r="A661">
        <v>45</v>
      </c>
      <c r="B661">
        <v>10</v>
      </c>
      <c r="C661">
        <v>0</v>
      </c>
      <c r="D661">
        <v>16</v>
      </c>
      <c r="E661">
        <v>2023</v>
      </c>
      <c r="F661">
        <v>2</v>
      </c>
      <c r="G661">
        <v>489</v>
      </c>
    </row>
    <row r="662" spans="1:7" x14ac:dyDescent="0.25">
      <c r="A662">
        <v>25</v>
      </c>
      <c r="B662">
        <v>7</v>
      </c>
      <c r="C662">
        <v>5</v>
      </c>
      <c r="D662">
        <v>23</v>
      </c>
      <c r="E662">
        <v>2018</v>
      </c>
      <c r="F662">
        <v>7</v>
      </c>
      <c r="G662">
        <v>502.25</v>
      </c>
    </row>
    <row r="663" spans="1:7" x14ac:dyDescent="0.25">
      <c r="A663">
        <v>58</v>
      </c>
      <c r="B663">
        <v>5</v>
      </c>
      <c r="C663">
        <v>5</v>
      </c>
      <c r="D663">
        <v>25</v>
      </c>
      <c r="E663">
        <v>2002</v>
      </c>
      <c r="F663">
        <v>23</v>
      </c>
      <c r="G663">
        <v>497.95</v>
      </c>
    </row>
    <row r="664" spans="1:7" x14ac:dyDescent="0.25">
      <c r="A664">
        <v>56</v>
      </c>
      <c r="B664">
        <v>14</v>
      </c>
      <c r="C664">
        <v>0</v>
      </c>
      <c r="D664">
        <v>22</v>
      </c>
      <c r="E664">
        <v>2018</v>
      </c>
      <c r="F664">
        <v>7</v>
      </c>
      <c r="G664">
        <v>486.4</v>
      </c>
    </row>
    <row r="665" spans="1:7" x14ac:dyDescent="0.25">
      <c r="A665">
        <v>18</v>
      </c>
      <c r="B665">
        <v>0</v>
      </c>
      <c r="C665">
        <v>1</v>
      </c>
      <c r="D665">
        <v>16</v>
      </c>
      <c r="E665">
        <v>2013</v>
      </c>
      <c r="F665">
        <v>12</v>
      </c>
      <c r="G665">
        <v>499.9</v>
      </c>
    </row>
    <row r="666" spans="1:7" x14ac:dyDescent="0.25">
      <c r="A666">
        <v>20</v>
      </c>
      <c r="B666">
        <v>2</v>
      </c>
      <c r="C666">
        <v>4</v>
      </c>
      <c r="D666">
        <v>15</v>
      </c>
      <c r="E666">
        <v>2015</v>
      </c>
      <c r="F666">
        <v>10</v>
      </c>
      <c r="G666">
        <v>503.15</v>
      </c>
    </row>
    <row r="667" spans="1:7" x14ac:dyDescent="0.25">
      <c r="A667">
        <v>30</v>
      </c>
      <c r="B667">
        <v>12</v>
      </c>
      <c r="C667">
        <v>0</v>
      </c>
      <c r="D667">
        <v>16</v>
      </c>
      <c r="E667">
        <v>2006</v>
      </c>
      <c r="F667">
        <v>19</v>
      </c>
      <c r="G667">
        <v>493.1</v>
      </c>
    </row>
    <row r="668" spans="1:7" x14ac:dyDescent="0.25">
      <c r="A668">
        <v>45</v>
      </c>
      <c r="B668">
        <v>25</v>
      </c>
      <c r="C668">
        <v>3</v>
      </c>
      <c r="D668">
        <v>21</v>
      </c>
      <c r="E668">
        <v>1996</v>
      </c>
      <c r="F668">
        <v>29</v>
      </c>
      <c r="G668">
        <v>491.95</v>
      </c>
    </row>
    <row r="669" spans="1:7" x14ac:dyDescent="0.25">
      <c r="A669">
        <v>42</v>
      </c>
      <c r="B669">
        <v>24</v>
      </c>
      <c r="C669">
        <v>2</v>
      </c>
      <c r="D669">
        <v>17</v>
      </c>
      <c r="E669">
        <v>2002</v>
      </c>
      <c r="F669">
        <v>23</v>
      </c>
      <c r="G669">
        <v>490.55</v>
      </c>
    </row>
    <row r="670" spans="1:7" x14ac:dyDescent="0.25">
      <c r="A670">
        <v>50</v>
      </c>
      <c r="B670">
        <v>32</v>
      </c>
      <c r="C670">
        <v>2</v>
      </c>
      <c r="D670">
        <v>22</v>
      </c>
      <c r="E670">
        <v>1994</v>
      </c>
      <c r="F670">
        <v>31</v>
      </c>
      <c r="G670">
        <v>487.6</v>
      </c>
    </row>
    <row r="671" spans="1:7" x14ac:dyDescent="0.25">
      <c r="A671">
        <v>55</v>
      </c>
      <c r="B671">
        <v>28</v>
      </c>
      <c r="C671">
        <v>5</v>
      </c>
      <c r="D671">
        <v>15</v>
      </c>
      <c r="E671">
        <v>2015</v>
      </c>
      <c r="F671">
        <v>10</v>
      </c>
      <c r="G671">
        <v>489.85</v>
      </c>
    </row>
    <row r="672" spans="1:7" x14ac:dyDescent="0.25">
      <c r="A672">
        <v>23</v>
      </c>
      <c r="B672">
        <v>3</v>
      </c>
      <c r="C672">
        <v>2</v>
      </c>
      <c r="D672">
        <v>11</v>
      </c>
      <c r="E672">
        <v>1992</v>
      </c>
      <c r="F672">
        <v>33</v>
      </c>
      <c r="G672">
        <v>501.35</v>
      </c>
    </row>
    <row r="673" spans="1:7" x14ac:dyDescent="0.25">
      <c r="A673">
        <v>61</v>
      </c>
      <c r="B673">
        <v>16</v>
      </c>
      <c r="C673">
        <v>4</v>
      </c>
      <c r="D673">
        <v>18</v>
      </c>
      <c r="E673">
        <v>1996</v>
      </c>
      <c r="F673">
        <v>29</v>
      </c>
      <c r="G673">
        <v>492.8</v>
      </c>
    </row>
    <row r="674" spans="1:7" x14ac:dyDescent="0.25">
      <c r="A674">
        <v>62</v>
      </c>
      <c r="B674">
        <v>34</v>
      </c>
      <c r="C674">
        <v>1</v>
      </c>
      <c r="D674">
        <v>14</v>
      </c>
      <c r="E674">
        <v>1990</v>
      </c>
      <c r="F674">
        <v>35</v>
      </c>
      <c r="G674">
        <v>483.1</v>
      </c>
    </row>
    <row r="675" spans="1:7" x14ac:dyDescent="0.25">
      <c r="A675">
        <v>49</v>
      </c>
      <c r="B675">
        <v>12</v>
      </c>
      <c r="C675">
        <v>3</v>
      </c>
      <c r="D675">
        <v>19</v>
      </c>
      <c r="E675">
        <v>2006</v>
      </c>
      <c r="F675">
        <v>19</v>
      </c>
      <c r="G675">
        <v>493.95</v>
      </c>
    </row>
    <row r="676" spans="1:7" x14ac:dyDescent="0.25">
      <c r="A676">
        <v>62</v>
      </c>
      <c r="B676">
        <v>40</v>
      </c>
      <c r="C676">
        <v>4</v>
      </c>
      <c r="D676">
        <v>24</v>
      </c>
      <c r="E676">
        <v>2014</v>
      </c>
      <c r="F676">
        <v>11</v>
      </c>
      <c r="G676">
        <v>483.9</v>
      </c>
    </row>
    <row r="677" spans="1:7" x14ac:dyDescent="0.25">
      <c r="A677">
        <v>64</v>
      </c>
      <c r="B677">
        <v>38</v>
      </c>
      <c r="C677">
        <v>3</v>
      </c>
      <c r="D677">
        <v>20</v>
      </c>
      <c r="E677">
        <v>1992</v>
      </c>
      <c r="F677">
        <v>33</v>
      </c>
      <c r="G677">
        <v>484.6</v>
      </c>
    </row>
    <row r="678" spans="1:7" x14ac:dyDescent="0.25">
      <c r="A678">
        <v>38</v>
      </c>
      <c r="B678">
        <v>14</v>
      </c>
      <c r="C678">
        <v>3</v>
      </c>
      <c r="D678">
        <v>22</v>
      </c>
      <c r="E678">
        <v>2004</v>
      </c>
      <c r="F678">
        <v>21</v>
      </c>
      <c r="G678">
        <v>495.9</v>
      </c>
    </row>
    <row r="679" spans="1:7" x14ac:dyDescent="0.25">
      <c r="A679">
        <v>33</v>
      </c>
      <c r="B679">
        <v>15</v>
      </c>
      <c r="C679">
        <v>1</v>
      </c>
      <c r="D679">
        <v>16</v>
      </c>
      <c r="E679">
        <v>2018</v>
      </c>
      <c r="F679">
        <v>7</v>
      </c>
      <c r="G679">
        <v>491.9</v>
      </c>
    </row>
    <row r="680" spans="1:7" x14ac:dyDescent="0.25">
      <c r="A680">
        <v>38</v>
      </c>
      <c r="B680">
        <v>20</v>
      </c>
      <c r="C680">
        <v>5</v>
      </c>
      <c r="D680">
        <v>11</v>
      </c>
      <c r="E680">
        <v>2021</v>
      </c>
      <c r="F680">
        <v>4</v>
      </c>
      <c r="G680">
        <v>494.85</v>
      </c>
    </row>
    <row r="681" spans="1:7" x14ac:dyDescent="0.25">
      <c r="A681">
        <v>28</v>
      </c>
      <c r="B681">
        <v>10</v>
      </c>
      <c r="C681">
        <v>2</v>
      </c>
      <c r="D681">
        <v>13</v>
      </c>
      <c r="E681">
        <v>2015</v>
      </c>
      <c r="F681">
        <v>10</v>
      </c>
      <c r="G681">
        <v>496.05</v>
      </c>
    </row>
    <row r="682" spans="1:7" x14ac:dyDescent="0.25">
      <c r="A682">
        <v>54</v>
      </c>
      <c r="B682">
        <v>31</v>
      </c>
      <c r="C682">
        <v>1</v>
      </c>
      <c r="D682">
        <v>13</v>
      </c>
      <c r="E682">
        <v>2005</v>
      </c>
      <c r="F682">
        <v>20</v>
      </c>
      <c r="G682">
        <v>484.05</v>
      </c>
    </row>
    <row r="683" spans="1:7" x14ac:dyDescent="0.25">
      <c r="A683">
        <v>53</v>
      </c>
      <c r="B683">
        <v>1</v>
      </c>
      <c r="C683">
        <v>4</v>
      </c>
      <c r="D683">
        <v>20</v>
      </c>
      <c r="E683">
        <v>2014</v>
      </c>
      <c r="F683">
        <v>11</v>
      </c>
      <c r="G683">
        <v>497.2</v>
      </c>
    </row>
    <row r="684" spans="1:7" x14ac:dyDescent="0.25">
      <c r="A684">
        <v>52</v>
      </c>
      <c r="B684">
        <v>13</v>
      </c>
      <c r="C684">
        <v>5</v>
      </c>
      <c r="D684">
        <v>22</v>
      </c>
      <c r="E684">
        <v>2017</v>
      </c>
      <c r="F684">
        <v>8</v>
      </c>
      <c r="G684">
        <v>495.1</v>
      </c>
    </row>
    <row r="685" spans="1:7" x14ac:dyDescent="0.25">
      <c r="A685">
        <v>36</v>
      </c>
      <c r="B685">
        <v>18</v>
      </c>
      <c r="C685">
        <v>4</v>
      </c>
      <c r="D685">
        <v>22</v>
      </c>
      <c r="E685">
        <v>1998</v>
      </c>
      <c r="F685">
        <v>27</v>
      </c>
      <c r="G685">
        <v>497.2</v>
      </c>
    </row>
    <row r="686" spans="1:7" x14ac:dyDescent="0.25">
      <c r="A686">
        <v>37</v>
      </c>
      <c r="B686">
        <v>19</v>
      </c>
      <c r="C686">
        <v>5</v>
      </c>
      <c r="D686">
        <v>14</v>
      </c>
      <c r="E686">
        <v>1990</v>
      </c>
      <c r="F686">
        <v>35</v>
      </c>
      <c r="G686">
        <v>498.6</v>
      </c>
    </row>
    <row r="687" spans="1:7" x14ac:dyDescent="0.25">
      <c r="A687">
        <v>35</v>
      </c>
      <c r="B687">
        <v>10</v>
      </c>
      <c r="C687">
        <v>4</v>
      </c>
      <c r="D687">
        <v>16</v>
      </c>
      <c r="E687">
        <v>2018</v>
      </c>
      <c r="F687">
        <v>7</v>
      </c>
      <c r="G687">
        <v>497.5</v>
      </c>
    </row>
    <row r="688" spans="1:7" x14ac:dyDescent="0.25">
      <c r="A688">
        <v>64</v>
      </c>
      <c r="B688">
        <v>26</v>
      </c>
      <c r="C688">
        <v>1</v>
      </c>
      <c r="D688">
        <v>25</v>
      </c>
      <c r="E688">
        <v>2011</v>
      </c>
      <c r="F688">
        <v>14</v>
      </c>
      <c r="G688">
        <v>483.55</v>
      </c>
    </row>
    <row r="689" spans="1:7" x14ac:dyDescent="0.25">
      <c r="A689">
        <v>58</v>
      </c>
      <c r="B689">
        <v>2</v>
      </c>
      <c r="C689">
        <v>5</v>
      </c>
      <c r="D689">
        <v>17</v>
      </c>
      <c r="E689">
        <v>2005</v>
      </c>
      <c r="F689">
        <v>20</v>
      </c>
      <c r="G689">
        <v>498.15</v>
      </c>
    </row>
    <row r="690" spans="1:7" x14ac:dyDescent="0.25">
      <c r="A690">
        <v>31</v>
      </c>
      <c r="B690">
        <v>13</v>
      </c>
      <c r="C690">
        <v>5</v>
      </c>
      <c r="D690">
        <v>20</v>
      </c>
      <c r="E690">
        <v>1996</v>
      </c>
      <c r="F690">
        <v>29</v>
      </c>
      <c r="G690">
        <v>501.3</v>
      </c>
    </row>
    <row r="691" spans="1:7" x14ac:dyDescent="0.25">
      <c r="A691">
        <v>32</v>
      </c>
      <c r="B691">
        <v>14</v>
      </c>
      <c r="C691">
        <v>3</v>
      </c>
      <c r="D691">
        <v>14</v>
      </c>
      <c r="E691">
        <v>2003</v>
      </c>
      <c r="F691">
        <v>22</v>
      </c>
      <c r="G691">
        <v>496.8</v>
      </c>
    </row>
    <row r="692" spans="1:7" x14ac:dyDescent="0.25">
      <c r="A692">
        <v>48</v>
      </c>
      <c r="B692">
        <v>28</v>
      </c>
      <c r="C692">
        <v>3</v>
      </c>
      <c r="D692">
        <v>16</v>
      </c>
      <c r="E692">
        <v>2018</v>
      </c>
      <c r="F692">
        <v>7</v>
      </c>
      <c r="G692">
        <v>488</v>
      </c>
    </row>
    <row r="693" spans="1:7" x14ac:dyDescent="0.25">
      <c r="A693">
        <v>18</v>
      </c>
      <c r="B693">
        <v>0</v>
      </c>
      <c r="C693">
        <v>0</v>
      </c>
      <c r="D693">
        <v>21</v>
      </c>
      <c r="E693">
        <v>2008</v>
      </c>
      <c r="F693">
        <v>17</v>
      </c>
      <c r="G693">
        <v>499.15</v>
      </c>
    </row>
    <row r="694" spans="1:7" x14ac:dyDescent="0.25">
      <c r="A694">
        <v>20</v>
      </c>
      <c r="B694">
        <v>2</v>
      </c>
      <c r="C694">
        <v>4</v>
      </c>
      <c r="D694">
        <v>11</v>
      </c>
      <c r="E694">
        <v>2008</v>
      </c>
      <c r="F694">
        <v>17</v>
      </c>
      <c r="G694">
        <v>503.65</v>
      </c>
    </row>
    <row r="695" spans="1:7" x14ac:dyDescent="0.25">
      <c r="A695">
        <v>33</v>
      </c>
      <c r="B695">
        <v>15</v>
      </c>
      <c r="C695">
        <v>3</v>
      </c>
      <c r="D695">
        <v>24</v>
      </c>
      <c r="E695">
        <v>1991</v>
      </c>
      <c r="F695">
        <v>34</v>
      </c>
      <c r="G695">
        <v>498</v>
      </c>
    </row>
    <row r="696" spans="1:7" x14ac:dyDescent="0.25">
      <c r="A696">
        <v>40</v>
      </c>
      <c r="B696">
        <v>19</v>
      </c>
      <c r="C696">
        <v>0</v>
      </c>
      <c r="D696">
        <v>18</v>
      </c>
      <c r="E696">
        <v>2004</v>
      </c>
      <c r="F696">
        <v>21</v>
      </c>
      <c r="G696">
        <v>489.3</v>
      </c>
    </row>
    <row r="697" spans="1:7" x14ac:dyDescent="0.25">
      <c r="A697">
        <v>28</v>
      </c>
      <c r="B697">
        <v>5</v>
      </c>
      <c r="C697">
        <v>3</v>
      </c>
      <c r="D697">
        <v>17</v>
      </c>
      <c r="E697">
        <v>1992</v>
      </c>
      <c r="F697">
        <v>33</v>
      </c>
      <c r="G697">
        <v>501.55</v>
      </c>
    </row>
    <row r="698" spans="1:7" x14ac:dyDescent="0.25">
      <c r="A698">
        <v>29</v>
      </c>
      <c r="B698">
        <v>11</v>
      </c>
      <c r="C698">
        <v>4</v>
      </c>
      <c r="D698">
        <v>25</v>
      </c>
      <c r="E698">
        <v>2000</v>
      </c>
      <c r="F698">
        <v>25</v>
      </c>
      <c r="G698">
        <v>500.65</v>
      </c>
    </row>
    <row r="699" spans="1:7" x14ac:dyDescent="0.25">
      <c r="A699">
        <v>27</v>
      </c>
      <c r="B699">
        <v>4</v>
      </c>
      <c r="C699">
        <v>5</v>
      </c>
      <c r="D699">
        <v>21</v>
      </c>
      <c r="E699">
        <v>2019</v>
      </c>
      <c r="F699">
        <v>6</v>
      </c>
      <c r="G699">
        <v>502.55</v>
      </c>
    </row>
    <row r="700" spans="1:7" x14ac:dyDescent="0.25">
      <c r="A700">
        <v>49</v>
      </c>
      <c r="B700">
        <v>2</v>
      </c>
      <c r="C700">
        <v>2</v>
      </c>
      <c r="D700">
        <v>21</v>
      </c>
      <c r="E700">
        <v>2007</v>
      </c>
      <c r="F700">
        <v>18</v>
      </c>
      <c r="G700">
        <v>495.45</v>
      </c>
    </row>
    <row r="701" spans="1:7" x14ac:dyDescent="0.25">
      <c r="A701">
        <v>33</v>
      </c>
      <c r="B701">
        <v>0</v>
      </c>
      <c r="C701">
        <v>4</v>
      </c>
      <c r="D701">
        <v>19</v>
      </c>
      <c r="E701">
        <v>1991</v>
      </c>
      <c r="F701">
        <v>34</v>
      </c>
      <c r="G701">
        <v>503.75</v>
      </c>
    </row>
    <row r="702" spans="1:7" x14ac:dyDescent="0.25">
      <c r="A702">
        <v>25</v>
      </c>
      <c r="B702">
        <v>7</v>
      </c>
      <c r="C702">
        <v>1</v>
      </c>
      <c r="D702">
        <v>13</v>
      </c>
      <c r="E702">
        <v>2021</v>
      </c>
      <c r="F702">
        <v>4</v>
      </c>
      <c r="G702">
        <v>495.45</v>
      </c>
    </row>
    <row r="703" spans="1:7" x14ac:dyDescent="0.25">
      <c r="A703">
        <v>55</v>
      </c>
      <c r="B703">
        <v>14</v>
      </c>
      <c r="C703">
        <v>3</v>
      </c>
      <c r="D703">
        <v>12</v>
      </c>
      <c r="E703">
        <v>1997</v>
      </c>
      <c r="F703">
        <v>28</v>
      </c>
      <c r="G703">
        <v>492.7</v>
      </c>
    </row>
    <row r="704" spans="1:7" x14ac:dyDescent="0.25">
      <c r="A704">
        <v>29</v>
      </c>
      <c r="B704">
        <v>11</v>
      </c>
      <c r="C704">
        <v>3</v>
      </c>
      <c r="D704">
        <v>11</v>
      </c>
      <c r="E704">
        <v>2011</v>
      </c>
      <c r="F704">
        <v>14</v>
      </c>
      <c r="G704">
        <v>497.35</v>
      </c>
    </row>
    <row r="705" spans="1:7" x14ac:dyDescent="0.25">
      <c r="A705">
        <v>41</v>
      </c>
      <c r="B705">
        <v>23</v>
      </c>
      <c r="C705">
        <v>5</v>
      </c>
      <c r="D705">
        <v>13</v>
      </c>
      <c r="E705">
        <v>1995</v>
      </c>
      <c r="F705">
        <v>30</v>
      </c>
      <c r="G705">
        <v>496.05</v>
      </c>
    </row>
    <row r="706" spans="1:7" x14ac:dyDescent="0.25">
      <c r="A706">
        <v>45</v>
      </c>
      <c r="B706">
        <v>24</v>
      </c>
      <c r="C706">
        <v>1</v>
      </c>
      <c r="D706">
        <v>15</v>
      </c>
      <c r="E706">
        <v>2001</v>
      </c>
      <c r="F706">
        <v>24</v>
      </c>
      <c r="G706">
        <v>488.45</v>
      </c>
    </row>
    <row r="707" spans="1:7" x14ac:dyDescent="0.25">
      <c r="A707">
        <v>25</v>
      </c>
      <c r="B707">
        <v>7</v>
      </c>
      <c r="C707">
        <v>5</v>
      </c>
      <c r="D707">
        <v>24</v>
      </c>
      <c r="E707">
        <v>2025</v>
      </c>
      <c r="F707">
        <v>0</v>
      </c>
      <c r="G707">
        <v>501.6</v>
      </c>
    </row>
    <row r="708" spans="1:7" x14ac:dyDescent="0.25">
      <c r="A708">
        <v>45</v>
      </c>
      <c r="B708">
        <v>11</v>
      </c>
      <c r="C708">
        <v>1</v>
      </c>
      <c r="D708">
        <v>21</v>
      </c>
      <c r="E708">
        <v>2004</v>
      </c>
      <c r="F708">
        <v>21</v>
      </c>
      <c r="G708">
        <v>492.35</v>
      </c>
    </row>
    <row r="709" spans="1:7" x14ac:dyDescent="0.25">
      <c r="A709">
        <v>53</v>
      </c>
      <c r="B709">
        <v>17</v>
      </c>
      <c r="C709">
        <v>2</v>
      </c>
      <c r="D709">
        <v>12</v>
      </c>
      <c r="E709">
        <v>2017</v>
      </c>
      <c r="F709">
        <v>8</v>
      </c>
      <c r="G709">
        <v>488.7</v>
      </c>
    </row>
    <row r="710" spans="1:7" x14ac:dyDescent="0.25">
      <c r="A710">
        <v>43</v>
      </c>
      <c r="B710">
        <v>14</v>
      </c>
      <c r="C710">
        <v>3</v>
      </c>
      <c r="D710">
        <v>22</v>
      </c>
      <c r="E710">
        <v>2007</v>
      </c>
      <c r="F710">
        <v>18</v>
      </c>
      <c r="G710">
        <v>494.6</v>
      </c>
    </row>
    <row r="711" spans="1:7" x14ac:dyDescent="0.25">
      <c r="A711">
        <v>25</v>
      </c>
      <c r="B711">
        <v>7</v>
      </c>
      <c r="C711">
        <v>3</v>
      </c>
      <c r="D711">
        <v>13</v>
      </c>
      <c r="E711">
        <v>1991</v>
      </c>
      <c r="F711">
        <v>34</v>
      </c>
      <c r="G711">
        <v>501.45</v>
      </c>
    </row>
    <row r="712" spans="1:7" x14ac:dyDescent="0.25">
      <c r="A712">
        <v>45</v>
      </c>
      <c r="B712">
        <v>26</v>
      </c>
      <c r="C712">
        <v>2</v>
      </c>
      <c r="D712">
        <v>25</v>
      </c>
      <c r="E712">
        <v>2002</v>
      </c>
      <c r="F712">
        <v>23</v>
      </c>
      <c r="G712">
        <v>489.75</v>
      </c>
    </row>
    <row r="713" spans="1:7" x14ac:dyDescent="0.25">
      <c r="A713">
        <v>45</v>
      </c>
      <c r="B713">
        <v>7</v>
      </c>
      <c r="C713">
        <v>0</v>
      </c>
      <c r="D713">
        <v>25</v>
      </c>
      <c r="E713">
        <v>2004</v>
      </c>
      <c r="F713">
        <v>21</v>
      </c>
      <c r="G713">
        <v>492.25</v>
      </c>
    </row>
    <row r="714" spans="1:7" x14ac:dyDescent="0.25">
      <c r="A714">
        <v>54</v>
      </c>
      <c r="B714">
        <v>24</v>
      </c>
      <c r="C714">
        <v>5</v>
      </c>
      <c r="D714">
        <v>25</v>
      </c>
      <c r="E714">
        <v>2009</v>
      </c>
      <c r="F714">
        <v>16</v>
      </c>
      <c r="G714">
        <v>492.35</v>
      </c>
    </row>
    <row r="715" spans="1:7" x14ac:dyDescent="0.25">
      <c r="A715">
        <v>58</v>
      </c>
      <c r="B715">
        <v>16</v>
      </c>
      <c r="C715">
        <v>2</v>
      </c>
      <c r="D715">
        <v>14</v>
      </c>
      <c r="E715">
        <v>2018</v>
      </c>
      <c r="F715">
        <v>7</v>
      </c>
      <c r="G715">
        <v>488</v>
      </c>
    </row>
    <row r="716" spans="1:7" x14ac:dyDescent="0.25">
      <c r="A716">
        <v>53</v>
      </c>
      <c r="B716">
        <v>28</v>
      </c>
      <c r="C716">
        <v>5</v>
      </c>
      <c r="D716">
        <v>17</v>
      </c>
      <c r="E716">
        <v>2018</v>
      </c>
      <c r="F716">
        <v>7</v>
      </c>
      <c r="G716">
        <v>490.05</v>
      </c>
    </row>
    <row r="717" spans="1:7" x14ac:dyDescent="0.25">
      <c r="A717">
        <v>44</v>
      </c>
      <c r="B717">
        <v>7</v>
      </c>
      <c r="C717">
        <v>4</v>
      </c>
      <c r="D717">
        <v>23</v>
      </c>
      <c r="E717">
        <v>1992</v>
      </c>
      <c r="F717">
        <v>33</v>
      </c>
      <c r="G717">
        <v>499.55</v>
      </c>
    </row>
    <row r="718" spans="1:7" x14ac:dyDescent="0.25">
      <c r="A718">
        <v>34</v>
      </c>
      <c r="B718">
        <v>14</v>
      </c>
      <c r="C718">
        <v>3</v>
      </c>
      <c r="D718">
        <v>13</v>
      </c>
      <c r="E718">
        <v>2008</v>
      </c>
      <c r="F718">
        <v>17</v>
      </c>
      <c r="G718">
        <v>495.85</v>
      </c>
    </row>
    <row r="719" spans="1:7" x14ac:dyDescent="0.25">
      <c r="A719">
        <v>26</v>
      </c>
      <c r="B719">
        <v>8</v>
      </c>
      <c r="C719">
        <v>5</v>
      </c>
      <c r="D719">
        <v>25</v>
      </c>
      <c r="E719">
        <v>1992</v>
      </c>
      <c r="F719">
        <v>33</v>
      </c>
      <c r="G719">
        <v>504.45</v>
      </c>
    </row>
    <row r="720" spans="1:7" x14ac:dyDescent="0.25">
      <c r="A720">
        <v>50</v>
      </c>
      <c r="B720">
        <v>6</v>
      </c>
      <c r="C720">
        <v>1</v>
      </c>
      <c r="D720">
        <v>19</v>
      </c>
      <c r="E720">
        <v>2003</v>
      </c>
      <c r="F720">
        <v>22</v>
      </c>
      <c r="G720">
        <v>492.85</v>
      </c>
    </row>
    <row r="721" spans="1:7" x14ac:dyDescent="0.25">
      <c r="A721">
        <v>37</v>
      </c>
      <c r="B721">
        <v>2</v>
      </c>
      <c r="C721">
        <v>5</v>
      </c>
      <c r="D721">
        <v>18</v>
      </c>
      <c r="E721">
        <v>1993</v>
      </c>
      <c r="F721">
        <v>32</v>
      </c>
      <c r="G721">
        <v>503.6</v>
      </c>
    </row>
    <row r="722" spans="1:7" x14ac:dyDescent="0.25">
      <c r="A722">
        <v>30</v>
      </c>
      <c r="B722">
        <v>12</v>
      </c>
      <c r="C722">
        <v>4</v>
      </c>
      <c r="D722">
        <v>14</v>
      </c>
      <c r="E722">
        <v>2000</v>
      </c>
      <c r="F722">
        <v>25</v>
      </c>
      <c r="G722">
        <v>499.6</v>
      </c>
    </row>
    <row r="723" spans="1:7" x14ac:dyDescent="0.25">
      <c r="A723">
        <v>45</v>
      </c>
      <c r="B723">
        <v>23</v>
      </c>
      <c r="C723">
        <v>3</v>
      </c>
      <c r="D723">
        <v>23</v>
      </c>
      <c r="E723">
        <v>2020</v>
      </c>
      <c r="F723">
        <v>5</v>
      </c>
      <c r="G723">
        <v>490.25</v>
      </c>
    </row>
    <row r="724" spans="1:7" x14ac:dyDescent="0.25">
      <c r="A724">
        <v>65</v>
      </c>
      <c r="B724">
        <v>2</v>
      </c>
      <c r="C724">
        <v>2</v>
      </c>
      <c r="D724">
        <v>11</v>
      </c>
      <c r="E724">
        <v>2021</v>
      </c>
      <c r="F724">
        <v>4</v>
      </c>
      <c r="G724">
        <v>490.35</v>
      </c>
    </row>
    <row r="725" spans="1:7" x14ac:dyDescent="0.25">
      <c r="A725">
        <v>46</v>
      </c>
      <c r="B725">
        <v>19</v>
      </c>
      <c r="C725">
        <v>4</v>
      </c>
      <c r="D725">
        <v>11</v>
      </c>
      <c r="E725">
        <v>2016</v>
      </c>
      <c r="F725">
        <v>9</v>
      </c>
      <c r="G725">
        <v>492.55</v>
      </c>
    </row>
    <row r="726" spans="1:7" x14ac:dyDescent="0.25">
      <c r="A726">
        <v>30</v>
      </c>
      <c r="B726">
        <v>12</v>
      </c>
      <c r="C726">
        <v>3</v>
      </c>
      <c r="D726">
        <v>11</v>
      </c>
      <c r="E726">
        <v>2019</v>
      </c>
      <c r="F726">
        <v>6</v>
      </c>
      <c r="G726">
        <v>496.05</v>
      </c>
    </row>
    <row r="727" spans="1:7" x14ac:dyDescent="0.25">
      <c r="A727">
        <v>63</v>
      </c>
      <c r="B727">
        <v>24</v>
      </c>
      <c r="C727">
        <v>5</v>
      </c>
      <c r="D727">
        <v>11</v>
      </c>
      <c r="E727">
        <v>1991</v>
      </c>
      <c r="F727">
        <v>34</v>
      </c>
      <c r="G727">
        <v>491.65</v>
      </c>
    </row>
    <row r="728" spans="1:7" x14ac:dyDescent="0.25">
      <c r="A728">
        <v>52</v>
      </c>
      <c r="B728">
        <v>29</v>
      </c>
      <c r="C728">
        <v>0</v>
      </c>
      <c r="D728">
        <v>18</v>
      </c>
      <c r="E728">
        <v>1998</v>
      </c>
      <c r="F728">
        <v>27</v>
      </c>
      <c r="G728">
        <v>484.5</v>
      </c>
    </row>
    <row r="729" spans="1:7" x14ac:dyDescent="0.25">
      <c r="A729">
        <v>23</v>
      </c>
      <c r="B729">
        <v>5</v>
      </c>
      <c r="C729">
        <v>0</v>
      </c>
      <c r="D729">
        <v>13</v>
      </c>
      <c r="E729">
        <v>2017</v>
      </c>
      <c r="F729">
        <v>8</v>
      </c>
      <c r="G729">
        <v>495.35</v>
      </c>
    </row>
    <row r="730" spans="1:7" x14ac:dyDescent="0.25">
      <c r="A730">
        <v>35</v>
      </c>
      <c r="B730">
        <v>6</v>
      </c>
      <c r="C730">
        <v>1</v>
      </c>
      <c r="D730">
        <v>25</v>
      </c>
      <c r="E730">
        <v>2020</v>
      </c>
      <c r="F730">
        <v>5</v>
      </c>
      <c r="G730">
        <v>494.45</v>
      </c>
    </row>
    <row r="731" spans="1:7" x14ac:dyDescent="0.25">
      <c r="A731">
        <v>22</v>
      </c>
      <c r="B731">
        <v>4</v>
      </c>
      <c r="C731">
        <v>3</v>
      </c>
      <c r="D731">
        <v>16</v>
      </c>
      <c r="E731">
        <v>2023</v>
      </c>
      <c r="F731">
        <v>2</v>
      </c>
      <c r="G731">
        <v>499.9</v>
      </c>
    </row>
    <row r="732" spans="1:7" x14ac:dyDescent="0.25">
      <c r="A732">
        <v>64</v>
      </c>
      <c r="B732">
        <v>19</v>
      </c>
      <c r="C732">
        <v>0</v>
      </c>
      <c r="D732">
        <v>13</v>
      </c>
      <c r="E732">
        <v>2004</v>
      </c>
      <c r="F732">
        <v>21</v>
      </c>
      <c r="G732">
        <v>484.25</v>
      </c>
    </row>
    <row r="733" spans="1:7" x14ac:dyDescent="0.25">
      <c r="A733">
        <v>42</v>
      </c>
      <c r="B733">
        <v>24</v>
      </c>
      <c r="C733">
        <v>2</v>
      </c>
      <c r="D733">
        <v>21</v>
      </c>
      <c r="E733">
        <v>2014</v>
      </c>
      <c r="F733">
        <v>11</v>
      </c>
      <c r="G733">
        <v>489.55</v>
      </c>
    </row>
    <row r="734" spans="1:7" x14ac:dyDescent="0.25">
      <c r="A734">
        <v>19</v>
      </c>
      <c r="B734">
        <v>1</v>
      </c>
      <c r="C734">
        <v>3</v>
      </c>
      <c r="D734">
        <v>15</v>
      </c>
      <c r="E734">
        <v>2025</v>
      </c>
      <c r="F734">
        <v>0</v>
      </c>
      <c r="G734">
        <v>501.15</v>
      </c>
    </row>
    <row r="735" spans="1:7" x14ac:dyDescent="0.25">
      <c r="A735">
        <v>27</v>
      </c>
      <c r="B735">
        <v>9</v>
      </c>
      <c r="C735">
        <v>2</v>
      </c>
      <c r="D735">
        <v>23</v>
      </c>
      <c r="E735">
        <v>1997</v>
      </c>
      <c r="F735">
        <v>28</v>
      </c>
      <c r="G735">
        <v>498.85</v>
      </c>
    </row>
    <row r="736" spans="1:7" x14ac:dyDescent="0.25">
      <c r="A736">
        <v>47</v>
      </c>
      <c r="B736">
        <v>21</v>
      </c>
      <c r="C736">
        <v>2</v>
      </c>
      <c r="D736">
        <v>25</v>
      </c>
      <c r="E736">
        <v>1998</v>
      </c>
      <c r="F736">
        <v>27</v>
      </c>
      <c r="G736">
        <v>491.25</v>
      </c>
    </row>
    <row r="737" spans="1:7" x14ac:dyDescent="0.25">
      <c r="A737">
        <v>62</v>
      </c>
      <c r="B737">
        <v>1</v>
      </c>
      <c r="C737">
        <v>0</v>
      </c>
      <c r="D737">
        <v>24</v>
      </c>
      <c r="E737">
        <v>2021</v>
      </c>
      <c r="F737">
        <v>4</v>
      </c>
      <c r="G737">
        <v>488.9</v>
      </c>
    </row>
    <row r="738" spans="1:7" x14ac:dyDescent="0.25">
      <c r="A738">
        <v>22</v>
      </c>
      <c r="B738">
        <v>4</v>
      </c>
      <c r="C738">
        <v>3</v>
      </c>
      <c r="D738">
        <v>23</v>
      </c>
      <c r="E738">
        <v>2006</v>
      </c>
      <c r="F738">
        <v>19</v>
      </c>
      <c r="G738">
        <v>501.95</v>
      </c>
    </row>
    <row r="739" spans="1:7" x14ac:dyDescent="0.25">
      <c r="A739">
        <v>50</v>
      </c>
      <c r="B739">
        <v>7</v>
      </c>
      <c r="C739">
        <v>5</v>
      </c>
      <c r="D739">
        <v>25</v>
      </c>
      <c r="E739">
        <v>2024</v>
      </c>
      <c r="F739">
        <v>1</v>
      </c>
      <c r="G739">
        <v>496.75</v>
      </c>
    </row>
    <row r="740" spans="1:7" x14ac:dyDescent="0.25">
      <c r="A740">
        <v>18</v>
      </c>
      <c r="B740">
        <v>0</v>
      </c>
      <c r="C740">
        <v>4</v>
      </c>
      <c r="D740">
        <v>17</v>
      </c>
      <c r="E740">
        <v>2008</v>
      </c>
      <c r="F740">
        <v>17</v>
      </c>
      <c r="G740">
        <v>504.95</v>
      </c>
    </row>
    <row r="741" spans="1:7" x14ac:dyDescent="0.25">
      <c r="A741">
        <v>35</v>
      </c>
      <c r="B741">
        <v>12</v>
      </c>
      <c r="C741">
        <v>0</v>
      </c>
      <c r="D741">
        <v>12</v>
      </c>
      <c r="E741">
        <v>2018</v>
      </c>
      <c r="F741">
        <v>7</v>
      </c>
      <c r="G741">
        <v>490.7</v>
      </c>
    </row>
    <row r="742" spans="1:7" x14ac:dyDescent="0.25">
      <c r="A742">
        <v>49</v>
      </c>
      <c r="B742">
        <v>16</v>
      </c>
      <c r="C742">
        <v>0</v>
      </c>
      <c r="D742">
        <v>16</v>
      </c>
      <c r="E742">
        <v>1996</v>
      </c>
      <c r="F742">
        <v>29</v>
      </c>
      <c r="G742">
        <v>489.1</v>
      </c>
    </row>
    <row r="743" spans="1:7" x14ac:dyDescent="0.25">
      <c r="A743">
        <v>64</v>
      </c>
      <c r="B743">
        <v>7</v>
      </c>
      <c r="C743">
        <v>5</v>
      </c>
      <c r="D743">
        <v>23</v>
      </c>
      <c r="E743">
        <v>2017</v>
      </c>
      <c r="F743">
        <v>8</v>
      </c>
      <c r="G743">
        <v>494.55</v>
      </c>
    </row>
    <row r="744" spans="1:7" x14ac:dyDescent="0.25">
      <c r="A744">
        <v>28</v>
      </c>
      <c r="B744">
        <v>10</v>
      </c>
      <c r="C744">
        <v>3</v>
      </c>
      <c r="D744">
        <v>16</v>
      </c>
      <c r="E744">
        <v>1998</v>
      </c>
      <c r="F744">
        <v>27</v>
      </c>
      <c r="G744">
        <v>499.4</v>
      </c>
    </row>
    <row r="745" spans="1:7" x14ac:dyDescent="0.25">
      <c r="A745">
        <v>38</v>
      </c>
      <c r="B745">
        <v>17</v>
      </c>
      <c r="C745">
        <v>3</v>
      </c>
      <c r="D745">
        <v>21</v>
      </c>
      <c r="E745">
        <v>2017</v>
      </c>
      <c r="F745">
        <v>8</v>
      </c>
      <c r="G745">
        <v>493.65</v>
      </c>
    </row>
    <row r="746" spans="1:7" x14ac:dyDescent="0.25">
      <c r="A746">
        <v>43</v>
      </c>
      <c r="B746">
        <v>25</v>
      </c>
      <c r="C746">
        <v>2</v>
      </c>
      <c r="D746">
        <v>13</v>
      </c>
      <c r="E746">
        <v>1995</v>
      </c>
      <c r="F746">
        <v>30</v>
      </c>
      <c r="G746">
        <v>490.55</v>
      </c>
    </row>
    <row r="747" spans="1:7" x14ac:dyDescent="0.25">
      <c r="A747">
        <v>42</v>
      </c>
      <c r="B747">
        <v>17</v>
      </c>
      <c r="C747">
        <v>5</v>
      </c>
      <c r="D747">
        <v>16</v>
      </c>
      <c r="E747">
        <v>2018</v>
      </c>
      <c r="F747">
        <v>7</v>
      </c>
      <c r="G747">
        <v>495.5</v>
      </c>
    </row>
    <row r="748" spans="1:7" x14ac:dyDescent="0.25">
      <c r="A748">
        <v>39</v>
      </c>
      <c r="B748">
        <v>21</v>
      </c>
      <c r="C748">
        <v>5</v>
      </c>
      <c r="D748">
        <v>20</v>
      </c>
      <c r="E748">
        <v>2006</v>
      </c>
      <c r="F748">
        <v>19</v>
      </c>
      <c r="G748">
        <v>496.3</v>
      </c>
    </row>
    <row r="749" spans="1:7" x14ac:dyDescent="0.25">
      <c r="A749">
        <v>44</v>
      </c>
      <c r="B749">
        <v>26</v>
      </c>
      <c r="C749">
        <v>3</v>
      </c>
      <c r="D749">
        <v>20</v>
      </c>
      <c r="E749">
        <v>2005</v>
      </c>
      <c r="F749">
        <v>20</v>
      </c>
      <c r="G749">
        <v>490.9</v>
      </c>
    </row>
    <row r="750" spans="1:7" x14ac:dyDescent="0.25">
      <c r="A750">
        <v>30</v>
      </c>
      <c r="B750">
        <v>12</v>
      </c>
      <c r="C750">
        <v>2</v>
      </c>
      <c r="D750">
        <v>24</v>
      </c>
      <c r="E750">
        <v>2012</v>
      </c>
      <c r="F750">
        <v>13</v>
      </c>
      <c r="G750">
        <v>495.9</v>
      </c>
    </row>
    <row r="751" spans="1:7" x14ac:dyDescent="0.25">
      <c r="A751">
        <v>50</v>
      </c>
      <c r="B751">
        <v>10</v>
      </c>
      <c r="C751">
        <v>0</v>
      </c>
      <c r="D751">
        <v>15</v>
      </c>
      <c r="E751">
        <v>2020</v>
      </c>
      <c r="F751">
        <v>5</v>
      </c>
      <c r="G751">
        <v>488.25</v>
      </c>
    </row>
    <row r="752" spans="1:7" x14ac:dyDescent="0.25">
      <c r="A752">
        <v>51</v>
      </c>
      <c r="B752">
        <v>24</v>
      </c>
      <c r="C752">
        <v>1</v>
      </c>
      <c r="D752">
        <v>22</v>
      </c>
      <c r="E752">
        <v>1992</v>
      </c>
      <c r="F752">
        <v>33</v>
      </c>
      <c r="G752">
        <v>488.5</v>
      </c>
    </row>
    <row r="753" spans="1:7" x14ac:dyDescent="0.25">
      <c r="A753">
        <v>58</v>
      </c>
      <c r="B753">
        <v>32</v>
      </c>
      <c r="C753">
        <v>4</v>
      </c>
      <c r="D753">
        <v>12</v>
      </c>
      <c r="E753">
        <v>2010</v>
      </c>
      <c r="F753">
        <v>15</v>
      </c>
      <c r="G753">
        <v>486.9</v>
      </c>
    </row>
    <row r="754" spans="1:7" x14ac:dyDescent="0.25">
      <c r="A754">
        <v>52</v>
      </c>
      <c r="B754">
        <v>34</v>
      </c>
      <c r="C754">
        <v>0</v>
      </c>
      <c r="D754">
        <v>19</v>
      </c>
      <c r="E754">
        <v>2015</v>
      </c>
      <c r="F754">
        <v>10</v>
      </c>
      <c r="G754">
        <v>481.35</v>
      </c>
    </row>
    <row r="755" spans="1:7" x14ac:dyDescent="0.25">
      <c r="A755">
        <v>18</v>
      </c>
      <c r="B755">
        <v>0</v>
      </c>
      <c r="C755">
        <v>3</v>
      </c>
      <c r="D755">
        <v>18</v>
      </c>
      <c r="E755">
        <v>2025</v>
      </c>
      <c r="F755">
        <v>0</v>
      </c>
      <c r="G755">
        <v>501.8</v>
      </c>
    </row>
    <row r="756" spans="1:7" x14ac:dyDescent="0.25">
      <c r="A756">
        <v>38</v>
      </c>
      <c r="B756">
        <v>7</v>
      </c>
      <c r="C756">
        <v>4</v>
      </c>
      <c r="D756">
        <v>13</v>
      </c>
      <c r="E756">
        <v>2011</v>
      </c>
      <c r="F756">
        <v>14</v>
      </c>
      <c r="G756">
        <v>498.35</v>
      </c>
    </row>
    <row r="757" spans="1:7" x14ac:dyDescent="0.25">
      <c r="A757">
        <v>65</v>
      </c>
      <c r="B757">
        <v>10</v>
      </c>
      <c r="C757">
        <v>1</v>
      </c>
      <c r="D757">
        <v>18</v>
      </c>
      <c r="E757">
        <v>2001</v>
      </c>
      <c r="F757">
        <v>24</v>
      </c>
      <c r="G757">
        <v>488.8</v>
      </c>
    </row>
    <row r="758" spans="1:7" x14ac:dyDescent="0.25">
      <c r="A758">
        <v>23</v>
      </c>
      <c r="B758">
        <v>5</v>
      </c>
      <c r="C758">
        <v>1</v>
      </c>
      <c r="D758">
        <v>24</v>
      </c>
      <c r="E758">
        <v>2002</v>
      </c>
      <c r="F758">
        <v>23</v>
      </c>
      <c r="G758">
        <v>498.9</v>
      </c>
    </row>
    <row r="759" spans="1:7" x14ac:dyDescent="0.25">
      <c r="A759">
        <v>45</v>
      </c>
      <c r="B759">
        <v>23</v>
      </c>
      <c r="C759">
        <v>2</v>
      </c>
      <c r="D759">
        <v>19</v>
      </c>
      <c r="E759">
        <v>2000</v>
      </c>
      <c r="F759">
        <v>25</v>
      </c>
      <c r="G759">
        <v>490.55</v>
      </c>
    </row>
    <row r="760" spans="1:7" x14ac:dyDescent="0.25">
      <c r="A760">
        <v>34</v>
      </c>
      <c r="B760">
        <v>16</v>
      </c>
      <c r="C760">
        <v>4</v>
      </c>
      <c r="D760">
        <v>24</v>
      </c>
      <c r="E760">
        <v>2005</v>
      </c>
      <c r="F760">
        <v>20</v>
      </c>
      <c r="G760">
        <v>497.6</v>
      </c>
    </row>
    <row r="761" spans="1:7" x14ac:dyDescent="0.25">
      <c r="A761">
        <v>22</v>
      </c>
      <c r="B761">
        <v>4</v>
      </c>
      <c r="C761">
        <v>2</v>
      </c>
      <c r="D761">
        <v>25</v>
      </c>
      <c r="E761">
        <v>1997</v>
      </c>
      <c r="F761">
        <v>28</v>
      </c>
      <c r="G761">
        <v>501.45</v>
      </c>
    </row>
    <row r="762" spans="1:7" x14ac:dyDescent="0.25">
      <c r="A762">
        <v>48</v>
      </c>
      <c r="B762">
        <v>11</v>
      </c>
      <c r="C762">
        <v>0</v>
      </c>
      <c r="D762">
        <v>13</v>
      </c>
      <c r="E762">
        <v>1991</v>
      </c>
      <c r="F762">
        <v>34</v>
      </c>
      <c r="G762">
        <v>491.15</v>
      </c>
    </row>
    <row r="763" spans="1:7" x14ac:dyDescent="0.25">
      <c r="A763">
        <v>22</v>
      </c>
      <c r="B763">
        <v>4</v>
      </c>
      <c r="C763">
        <v>5</v>
      </c>
      <c r="D763">
        <v>13</v>
      </c>
      <c r="E763">
        <v>2019</v>
      </c>
      <c r="F763">
        <v>6</v>
      </c>
      <c r="G763">
        <v>503.15</v>
      </c>
    </row>
    <row r="764" spans="1:7" x14ac:dyDescent="0.25">
      <c r="A764">
        <v>55</v>
      </c>
      <c r="B764">
        <v>14</v>
      </c>
      <c r="C764">
        <v>5</v>
      </c>
      <c r="D764">
        <v>12</v>
      </c>
      <c r="E764">
        <v>2019</v>
      </c>
      <c r="F764">
        <v>6</v>
      </c>
      <c r="G764">
        <v>493.5</v>
      </c>
    </row>
    <row r="765" spans="1:7" x14ac:dyDescent="0.25">
      <c r="A765">
        <v>20</v>
      </c>
      <c r="B765">
        <v>2</v>
      </c>
      <c r="C765">
        <v>5</v>
      </c>
      <c r="D765">
        <v>18</v>
      </c>
      <c r="E765">
        <v>2001</v>
      </c>
      <c r="F765">
        <v>24</v>
      </c>
      <c r="G765">
        <v>506.2</v>
      </c>
    </row>
    <row r="766" spans="1:7" x14ac:dyDescent="0.25">
      <c r="A766">
        <v>40</v>
      </c>
      <c r="B766">
        <v>21</v>
      </c>
      <c r="C766">
        <v>4</v>
      </c>
      <c r="D766">
        <v>20</v>
      </c>
      <c r="E766">
        <v>1999</v>
      </c>
      <c r="F766">
        <v>26</v>
      </c>
      <c r="G766">
        <v>495.3</v>
      </c>
    </row>
    <row r="767" spans="1:7" x14ac:dyDescent="0.25">
      <c r="A767">
        <v>54</v>
      </c>
      <c r="B767">
        <v>27</v>
      </c>
      <c r="C767">
        <v>5</v>
      </c>
      <c r="D767">
        <v>11</v>
      </c>
      <c r="E767">
        <v>2000</v>
      </c>
      <c r="F767">
        <v>25</v>
      </c>
      <c r="G767">
        <v>491.65</v>
      </c>
    </row>
    <row r="768" spans="1:7" x14ac:dyDescent="0.25">
      <c r="A768">
        <v>54</v>
      </c>
      <c r="B768">
        <v>19</v>
      </c>
      <c r="C768">
        <v>0</v>
      </c>
      <c r="D768">
        <v>18</v>
      </c>
      <c r="E768">
        <v>2004</v>
      </c>
      <c r="F768">
        <v>21</v>
      </c>
      <c r="G768">
        <v>486.5</v>
      </c>
    </row>
    <row r="769" spans="1:7" x14ac:dyDescent="0.25">
      <c r="A769">
        <v>27</v>
      </c>
      <c r="B769">
        <v>9</v>
      </c>
      <c r="C769">
        <v>2</v>
      </c>
      <c r="D769">
        <v>17</v>
      </c>
      <c r="E769">
        <v>2005</v>
      </c>
      <c r="F769">
        <v>20</v>
      </c>
      <c r="G769">
        <v>497.75</v>
      </c>
    </row>
    <row r="770" spans="1:7" x14ac:dyDescent="0.25">
      <c r="A770">
        <v>27</v>
      </c>
      <c r="B770">
        <v>9</v>
      </c>
      <c r="C770">
        <v>4</v>
      </c>
      <c r="D770">
        <v>24</v>
      </c>
      <c r="E770">
        <v>2006</v>
      </c>
      <c r="F770">
        <v>19</v>
      </c>
      <c r="G770">
        <v>501</v>
      </c>
    </row>
    <row r="771" spans="1:7" x14ac:dyDescent="0.25">
      <c r="A771">
        <v>36</v>
      </c>
      <c r="B771">
        <v>18</v>
      </c>
      <c r="C771">
        <v>2</v>
      </c>
      <c r="D771">
        <v>17</v>
      </c>
      <c r="E771">
        <v>2015</v>
      </c>
      <c r="F771">
        <v>10</v>
      </c>
      <c r="G771">
        <v>492.25</v>
      </c>
    </row>
    <row r="772" spans="1:7" x14ac:dyDescent="0.25">
      <c r="A772">
        <v>34</v>
      </c>
      <c r="B772">
        <v>16</v>
      </c>
      <c r="C772">
        <v>4</v>
      </c>
      <c r="D772">
        <v>13</v>
      </c>
      <c r="E772">
        <v>1991</v>
      </c>
      <c r="F772">
        <v>34</v>
      </c>
      <c r="G772">
        <v>498.45</v>
      </c>
    </row>
    <row r="773" spans="1:7" x14ac:dyDescent="0.25">
      <c r="A773">
        <v>38</v>
      </c>
      <c r="B773">
        <v>20</v>
      </c>
      <c r="C773">
        <v>2</v>
      </c>
      <c r="D773">
        <v>11</v>
      </c>
      <c r="E773">
        <v>2001</v>
      </c>
      <c r="F773">
        <v>24</v>
      </c>
      <c r="G773">
        <v>492.35</v>
      </c>
    </row>
    <row r="774" spans="1:7" x14ac:dyDescent="0.25">
      <c r="A774">
        <v>31</v>
      </c>
      <c r="B774">
        <v>1</v>
      </c>
      <c r="C774">
        <v>1</v>
      </c>
      <c r="D774">
        <v>14</v>
      </c>
      <c r="E774">
        <v>2015</v>
      </c>
      <c r="F774">
        <v>10</v>
      </c>
      <c r="G774">
        <v>496.7</v>
      </c>
    </row>
    <row r="775" spans="1:7" x14ac:dyDescent="0.25">
      <c r="A775">
        <v>26</v>
      </c>
      <c r="B775">
        <v>8</v>
      </c>
      <c r="C775">
        <v>2</v>
      </c>
      <c r="D775">
        <v>19</v>
      </c>
      <c r="E775">
        <v>2012</v>
      </c>
      <c r="F775">
        <v>13</v>
      </c>
      <c r="G775">
        <v>497.65</v>
      </c>
    </row>
    <row r="776" spans="1:7" x14ac:dyDescent="0.25">
      <c r="A776">
        <v>63</v>
      </c>
      <c r="B776">
        <v>32</v>
      </c>
      <c r="C776">
        <v>5</v>
      </c>
      <c r="D776">
        <v>15</v>
      </c>
      <c r="E776">
        <v>2007</v>
      </c>
      <c r="F776">
        <v>18</v>
      </c>
      <c r="G776">
        <v>487.85</v>
      </c>
    </row>
    <row r="777" spans="1:7" x14ac:dyDescent="0.25">
      <c r="A777">
        <v>18</v>
      </c>
      <c r="B777">
        <v>0</v>
      </c>
      <c r="C777">
        <v>1</v>
      </c>
      <c r="D777">
        <v>11</v>
      </c>
      <c r="E777">
        <v>2021</v>
      </c>
      <c r="F777">
        <v>4</v>
      </c>
      <c r="G777">
        <v>498.85</v>
      </c>
    </row>
    <row r="778" spans="1:7" x14ac:dyDescent="0.25">
      <c r="A778">
        <v>62</v>
      </c>
      <c r="B778">
        <v>12</v>
      </c>
      <c r="C778">
        <v>2</v>
      </c>
      <c r="D778">
        <v>25</v>
      </c>
      <c r="E778">
        <v>1992</v>
      </c>
      <c r="F778">
        <v>33</v>
      </c>
      <c r="G778">
        <v>491.55</v>
      </c>
    </row>
    <row r="779" spans="1:7" x14ac:dyDescent="0.25">
      <c r="A779">
        <v>30</v>
      </c>
      <c r="B779">
        <v>12</v>
      </c>
      <c r="C779">
        <v>4</v>
      </c>
      <c r="D779">
        <v>15</v>
      </c>
      <c r="E779">
        <v>1992</v>
      </c>
      <c r="F779">
        <v>33</v>
      </c>
      <c r="G779">
        <v>500.45</v>
      </c>
    </row>
    <row r="780" spans="1:7" x14ac:dyDescent="0.25">
      <c r="A780">
        <v>21</v>
      </c>
      <c r="B780">
        <v>3</v>
      </c>
      <c r="C780">
        <v>4</v>
      </c>
      <c r="D780">
        <v>23</v>
      </c>
      <c r="E780">
        <v>2019</v>
      </c>
      <c r="F780">
        <v>6</v>
      </c>
      <c r="G780">
        <v>502.65</v>
      </c>
    </row>
    <row r="781" spans="1:7" x14ac:dyDescent="0.25">
      <c r="A781">
        <v>18</v>
      </c>
      <c r="B781">
        <v>0</v>
      </c>
      <c r="C781">
        <v>4</v>
      </c>
      <c r="D781">
        <v>18</v>
      </c>
      <c r="E781">
        <v>1990</v>
      </c>
      <c r="F781">
        <v>35</v>
      </c>
      <c r="G781">
        <v>506.8</v>
      </c>
    </row>
    <row r="782" spans="1:7" x14ac:dyDescent="0.25">
      <c r="A782">
        <v>57</v>
      </c>
      <c r="B782">
        <v>25</v>
      </c>
      <c r="C782">
        <v>3</v>
      </c>
      <c r="D782">
        <v>18</v>
      </c>
      <c r="E782">
        <v>2019</v>
      </c>
      <c r="F782">
        <v>6</v>
      </c>
      <c r="G782">
        <v>487.1</v>
      </c>
    </row>
    <row r="783" spans="1:7" x14ac:dyDescent="0.25">
      <c r="A783">
        <v>49</v>
      </c>
      <c r="B783">
        <v>21</v>
      </c>
      <c r="C783">
        <v>0</v>
      </c>
      <c r="D783">
        <v>15</v>
      </c>
      <c r="E783">
        <v>2021</v>
      </c>
      <c r="F783">
        <v>4</v>
      </c>
      <c r="G783">
        <v>485.05</v>
      </c>
    </row>
    <row r="784" spans="1:7" x14ac:dyDescent="0.25">
      <c r="A784">
        <v>51</v>
      </c>
      <c r="B784">
        <v>33</v>
      </c>
      <c r="C784">
        <v>4</v>
      </c>
      <c r="D784">
        <v>22</v>
      </c>
      <c r="E784">
        <v>2017</v>
      </c>
      <c r="F784">
        <v>8</v>
      </c>
      <c r="G784">
        <v>487.8</v>
      </c>
    </row>
    <row r="785" spans="1:7" x14ac:dyDescent="0.25">
      <c r="A785">
        <v>45</v>
      </c>
      <c r="B785">
        <v>1</v>
      </c>
      <c r="C785">
        <v>1</v>
      </c>
      <c r="D785">
        <v>19</v>
      </c>
      <c r="E785">
        <v>2010</v>
      </c>
      <c r="F785">
        <v>15</v>
      </c>
      <c r="G785">
        <v>494.65</v>
      </c>
    </row>
    <row r="786" spans="1:7" x14ac:dyDescent="0.25">
      <c r="A786">
        <v>48</v>
      </c>
      <c r="B786">
        <v>30</v>
      </c>
      <c r="C786">
        <v>4</v>
      </c>
      <c r="D786">
        <v>25</v>
      </c>
      <c r="E786">
        <v>2002</v>
      </c>
      <c r="F786">
        <v>23</v>
      </c>
      <c r="G786">
        <v>490.95</v>
      </c>
    </row>
    <row r="787" spans="1:7" x14ac:dyDescent="0.25">
      <c r="A787">
        <v>25</v>
      </c>
      <c r="B787">
        <v>7</v>
      </c>
      <c r="C787">
        <v>3</v>
      </c>
      <c r="D787">
        <v>11</v>
      </c>
      <c r="E787">
        <v>2016</v>
      </c>
      <c r="F787">
        <v>9</v>
      </c>
      <c r="G787">
        <v>498.85</v>
      </c>
    </row>
    <row r="788" spans="1:7" x14ac:dyDescent="0.25">
      <c r="A788">
        <v>56</v>
      </c>
      <c r="B788">
        <v>25</v>
      </c>
      <c r="C788">
        <v>5</v>
      </c>
      <c r="D788">
        <v>14</v>
      </c>
      <c r="E788">
        <v>2025</v>
      </c>
      <c r="F788">
        <v>0</v>
      </c>
      <c r="G788">
        <v>489.5</v>
      </c>
    </row>
    <row r="789" spans="1:7" x14ac:dyDescent="0.25">
      <c r="A789">
        <v>43</v>
      </c>
      <c r="B789">
        <v>14</v>
      </c>
      <c r="C789">
        <v>1</v>
      </c>
      <c r="D789">
        <v>13</v>
      </c>
      <c r="E789">
        <v>1996</v>
      </c>
      <c r="F789">
        <v>29</v>
      </c>
      <c r="G789">
        <v>492.25</v>
      </c>
    </row>
    <row r="790" spans="1:7" x14ac:dyDescent="0.25">
      <c r="A790">
        <v>51</v>
      </c>
      <c r="B790">
        <v>33</v>
      </c>
      <c r="C790">
        <v>3</v>
      </c>
      <c r="D790">
        <v>12</v>
      </c>
      <c r="E790">
        <v>2011</v>
      </c>
      <c r="F790">
        <v>14</v>
      </c>
      <c r="G790">
        <v>486.4</v>
      </c>
    </row>
    <row r="791" spans="1:7" x14ac:dyDescent="0.25">
      <c r="A791">
        <v>20</v>
      </c>
      <c r="B791">
        <v>2</v>
      </c>
      <c r="C791">
        <v>5</v>
      </c>
      <c r="D791">
        <v>25</v>
      </c>
      <c r="E791">
        <v>1999</v>
      </c>
      <c r="F791">
        <v>26</v>
      </c>
      <c r="G791">
        <v>506.75</v>
      </c>
    </row>
    <row r="792" spans="1:7" x14ac:dyDescent="0.25">
      <c r="A792">
        <v>29</v>
      </c>
      <c r="B792">
        <v>10</v>
      </c>
      <c r="C792">
        <v>1</v>
      </c>
      <c r="D792">
        <v>18</v>
      </c>
      <c r="E792">
        <v>2004</v>
      </c>
      <c r="F792">
        <v>21</v>
      </c>
      <c r="G792">
        <v>495.7</v>
      </c>
    </row>
    <row r="793" spans="1:7" x14ac:dyDescent="0.25">
      <c r="A793">
        <v>18</v>
      </c>
      <c r="B793">
        <v>0</v>
      </c>
      <c r="C793">
        <v>2</v>
      </c>
      <c r="D793">
        <v>17</v>
      </c>
      <c r="E793">
        <v>2004</v>
      </c>
      <c r="F793">
        <v>21</v>
      </c>
      <c r="G793">
        <v>502.35</v>
      </c>
    </row>
    <row r="794" spans="1:7" x14ac:dyDescent="0.25">
      <c r="A794">
        <v>61</v>
      </c>
      <c r="B794">
        <v>5</v>
      </c>
      <c r="C794">
        <v>0</v>
      </c>
      <c r="D794">
        <v>19</v>
      </c>
      <c r="E794">
        <v>1993</v>
      </c>
      <c r="F794">
        <v>32</v>
      </c>
      <c r="G794">
        <v>490.45</v>
      </c>
    </row>
    <row r="795" spans="1:7" x14ac:dyDescent="0.25">
      <c r="A795">
        <v>22</v>
      </c>
      <c r="B795">
        <v>4</v>
      </c>
      <c r="C795">
        <v>0</v>
      </c>
      <c r="D795">
        <v>12</v>
      </c>
      <c r="E795">
        <v>2021</v>
      </c>
      <c r="F795">
        <v>4</v>
      </c>
      <c r="G795">
        <v>495.4</v>
      </c>
    </row>
    <row r="796" spans="1:7" x14ac:dyDescent="0.25">
      <c r="A796">
        <v>47</v>
      </c>
      <c r="B796">
        <v>5</v>
      </c>
      <c r="C796">
        <v>3</v>
      </c>
      <c r="D796">
        <v>24</v>
      </c>
      <c r="E796">
        <v>2012</v>
      </c>
      <c r="F796">
        <v>13</v>
      </c>
      <c r="G796">
        <v>496.1</v>
      </c>
    </row>
    <row r="797" spans="1:7" x14ac:dyDescent="0.25">
      <c r="A797">
        <v>47</v>
      </c>
      <c r="B797">
        <v>8</v>
      </c>
      <c r="C797">
        <v>5</v>
      </c>
      <c r="D797">
        <v>24</v>
      </c>
      <c r="E797">
        <v>1995</v>
      </c>
      <c r="F797">
        <v>30</v>
      </c>
      <c r="G797">
        <v>499.9</v>
      </c>
    </row>
    <row r="798" spans="1:7" x14ac:dyDescent="0.25">
      <c r="A798">
        <v>34</v>
      </c>
      <c r="B798">
        <v>16</v>
      </c>
      <c r="C798">
        <v>0</v>
      </c>
      <c r="D798">
        <v>14</v>
      </c>
      <c r="E798">
        <v>2013</v>
      </c>
      <c r="F798">
        <v>12</v>
      </c>
      <c r="G798">
        <v>490.3</v>
      </c>
    </row>
    <row r="799" spans="1:7" x14ac:dyDescent="0.25">
      <c r="A799">
        <v>65</v>
      </c>
      <c r="B799">
        <v>30</v>
      </c>
      <c r="C799">
        <v>5</v>
      </c>
      <c r="D799">
        <v>24</v>
      </c>
      <c r="E799">
        <v>2009</v>
      </c>
      <c r="F799">
        <v>16</v>
      </c>
      <c r="G799">
        <v>488.3</v>
      </c>
    </row>
    <row r="800" spans="1:7" x14ac:dyDescent="0.25">
      <c r="A800">
        <v>64</v>
      </c>
      <c r="B800">
        <v>31</v>
      </c>
      <c r="C800">
        <v>5</v>
      </c>
      <c r="D800">
        <v>25</v>
      </c>
      <c r="E800">
        <v>2009</v>
      </c>
      <c r="F800">
        <v>16</v>
      </c>
      <c r="G800">
        <v>488.25</v>
      </c>
    </row>
    <row r="801" spans="1:7" x14ac:dyDescent="0.25">
      <c r="A801">
        <v>40</v>
      </c>
      <c r="B801">
        <v>22</v>
      </c>
      <c r="C801">
        <v>3</v>
      </c>
      <c r="D801">
        <v>16</v>
      </c>
      <c r="E801">
        <v>2001</v>
      </c>
      <c r="F801">
        <v>24</v>
      </c>
      <c r="G801">
        <v>493.1</v>
      </c>
    </row>
    <row r="802" spans="1:7" x14ac:dyDescent="0.25">
      <c r="A802">
        <v>32</v>
      </c>
      <c r="B802">
        <v>11</v>
      </c>
      <c r="C802">
        <v>3</v>
      </c>
      <c r="D802">
        <v>21</v>
      </c>
      <c r="E802">
        <v>2022</v>
      </c>
      <c r="F802">
        <v>3</v>
      </c>
      <c r="G802">
        <v>496.15</v>
      </c>
    </row>
    <row r="803" spans="1:7" x14ac:dyDescent="0.25">
      <c r="A803">
        <v>54</v>
      </c>
      <c r="B803">
        <v>7</v>
      </c>
      <c r="C803">
        <v>3</v>
      </c>
      <c r="D803">
        <v>13</v>
      </c>
      <c r="E803">
        <v>2017</v>
      </c>
      <c r="F803">
        <v>8</v>
      </c>
      <c r="G803">
        <v>493.05</v>
      </c>
    </row>
    <row r="804" spans="1:7" x14ac:dyDescent="0.25">
      <c r="A804">
        <v>38</v>
      </c>
      <c r="B804">
        <v>7</v>
      </c>
      <c r="C804">
        <v>0</v>
      </c>
      <c r="D804">
        <v>18</v>
      </c>
      <c r="E804">
        <v>1997</v>
      </c>
      <c r="F804">
        <v>28</v>
      </c>
      <c r="G804">
        <v>494</v>
      </c>
    </row>
    <row r="805" spans="1:7" x14ac:dyDescent="0.25">
      <c r="A805">
        <v>31</v>
      </c>
      <c r="B805">
        <v>13</v>
      </c>
      <c r="C805">
        <v>3</v>
      </c>
      <c r="D805">
        <v>13</v>
      </c>
      <c r="E805">
        <v>1990</v>
      </c>
      <c r="F805">
        <v>35</v>
      </c>
      <c r="G805">
        <v>498.55</v>
      </c>
    </row>
    <row r="806" spans="1:7" x14ac:dyDescent="0.25">
      <c r="A806">
        <v>19</v>
      </c>
      <c r="B806">
        <v>1</v>
      </c>
      <c r="C806">
        <v>0</v>
      </c>
      <c r="D806">
        <v>24</v>
      </c>
      <c r="E806">
        <v>2011</v>
      </c>
      <c r="F806">
        <v>14</v>
      </c>
      <c r="G806">
        <v>498.5</v>
      </c>
    </row>
    <row r="807" spans="1:7" x14ac:dyDescent="0.25">
      <c r="A807">
        <v>28</v>
      </c>
      <c r="B807">
        <v>6</v>
      </c>
      <c r="C807">
        <v>3</v>
      </c>
      <c r="D807">
        <v>22</v>
      </c>
      <c r="E807">
        <v>1995</v>
      </c>
      <c r="F807">
        <v>30</v>
      </c>
      <c r="G807">
        <v>501.2</v>
      </c>
    </row>
    <row r="808" spans="1:7" x14ac:dyDescent="0.25">
      <c r="A808">
        <v>56</v>
      </c>
      <c r="B808">
        <v>10</v>
      </c>
      <c r="C808">
        <v>4</v>
      </c>
      <c r="D808">
        <v>23</v>
      </c>
      <c r="E808">
        <v>2010</v>
      </c>
      <c r="F808">
        <v>15</v>
      </c>
      <c r="G808">
        <v>494.45</v>
      </c>
    </row>
    <row r="809" spans="1:7" x14ac:dyDescent="0.25">
      <c r="A809">
        <v>55</v>
      </c>
      <c r="B809">
        <v>19</v>
      </c>
      <c r="C809">
        <v>5</v>
      </c>
      <c r="D809">
        <v>23</v>
      </c>
      <c r="E809">
        <v>2021</v>
      </c>
      <c r="F809">
        <v>4</v>
      </c>
      <c r="G809">
        <v>492.35</v>
      </c>
    </row>
    <row r="810" spans="1:7" x14ac:dyDescent="0.25">
      <c r="A810">
        <v>51</v>
      </c>
      <c r="B810">
        <v>15</v>
      </c>
      <c r="C810">
        <v>3</v>
      </c>
      <c r="D810">
        <v>12</v>
      </c>
      <c r="E810">
        <v>2024</v>
      </c>
      <c r="F810">
        <v>1</v>
      </c>
      <c r="G810">
        <v>490.5</v>
      </c>
    </row>
    <row r="811" spans="1:7" x14ac:dyDescent="0.25">
      <c r="A811">
        <v>55</v>
      </c>
      <c r="B811">
        <v>3</v>
      </c>
      <c r="C811">
        <v>1</v>
      </c>
      <c r="D811">
        <v>23</v>
      </c>
      <c r="E811">
        <v>2004</v>
      </c>
      <c r="F811">
        <v>21</v>
      </c>
      <c r="G811">
        <v>492.85</v>
      </c>
    </row>
    <row r="812" spans="1:7" x14ac:dyDescent="0.25">
      <c r="A812">
        <v>51</v>
      </c>
      <c r="B812">
        <v>5</v>
      </c>
      <c r="C812">
        <v>5</v>
      </c>
      <c r="D812">
        <v>23</v>
      </c>
      <c r="E812">
        <v>1994</v>
      </c>
      <c r="F812">
        <v>31</v>
      </c>
      <c r="G812">
        <v>500.05</v>
      </c>
    </row>
    <row r="813" spans="1:7" x14ac:dyDescent="0.25">
      <c r="A813">
        <v>35</v>
      </c>
      <c r="B813">
        <v>17</v>
      </c>
      <c r="C813">
        <v>5</v>
      </c>
      <c r="D813">
        <v>13</v>
      </c>
      <c r="E813">
        <v>1995</v>
      </c>
      <c r="F813">
        <v>30</v>
      </c>
      <c r="G813">
        <v>499.05</v>
      </c>
    </row>
    <row r="814" spans="1:7" x14ac:dyDescent="0.25">
      <c r="A814">
        <v>47</v>
      </c>
      <c r="B814">
        <v>25</v>
      </c>
      <c r="C814">
        <v>3</v>
      </c>
      <c r="D814">
        <v>21</v>
      </c>
      <c r="E814">
        <v>2014</v>
      </c>
      <c r="F814">
        <v>11</v>
      </c>
      <c r="G814">
        <v>489.75</v>
      </c>
    </row>
    <row r="815" spans="1:7" x14ac:dyDescent="0.25">
      <c r="A815">
        <v>32</v>
      </c>
      <c r="B815">
        <v>2</v>
      </c>
      <c r="C815">
        <v>2</v>
      </c>
      <c r="D815">
        <v>16</v>
      </c>
      <c r="E815">
        <v>2018</v>
      </c>
      <c r="F815">
        <v>7</v>
      </c>
      <c r="G815">
        <v>497.5</v>
      </c>
    </row>
    <row r="816" spans="1:7" x14ac:dyDescent="0.25">
      <c r="A816">
        <v>44</v>
      </c>
      <c r="B816">
        <v>26</v>
      </c>
      <c r="C816">
        <v>3</v>
      </c>
      <c r="D816">
        <v>12</v>
      </c>
      <c r="E816">
        <v>1996</v>
      </c>
      <c r="F816">
        <v>29</v>
      </c>
      <c r="G816">
        <v>491.4</v>
      </c>
    </row>
    <row r="817" spans="1:7" x14ac:dyDescent="0.25">
      <c r="A817">
        <v>51</v>
      </c>
      <c r="B817">
        <v>13</v>
      </c>
      <c r="C817">
        <v>5</v>
      </c>
      <c r="D817">
        <v>18</v>
      </c>
      <c r="E817">
        <v>2002</v>
      </c>
      <c r="F817">
        <v>23</v>
      </c>
      <c r="G817">
        <v>496.6</v>
      </c>
    </row>
    <row r="818" spans="1:7" x14ac:dyDescent="0.25">
      <c r="A818">
        <v>55</v>
      </c>
      <c r="B818">
        <v>10</v>
      </c>
      <c r="C818">
        <v>1</v>
      </c>
      <c r="D818">
        <v>11</v>
      </c>
      <c r="E818">
        <v>2007</v>
      </c>
      <c r="F818">
        <v>18</v>
      </c>
      <c r="G818">
        <v>489.85</v>
      </c>
    </row>
    <row r="819" spans="1:7" x14ac:dyDescent="0.25">
      <c r="A819">
        <v>50</v>
      </c>
      <c r="B819">
        <v>17</v>
      </c>
      <c r="C819">
        <v>5</v>
      </c>
      <c r="D819">
        <v>17</v>
      </c>
      <c r="E819">
        <v>1991</v>
      </c>
      <c r="F819">
        <v>34</v>
      </c>
      <c r="G819">
        <v>496.65</v>
      </c>
    </row>
    <row r="820" spans="1:7" x14ac:dyDescent="0.25">
      <c r="A820">
        <v>41</v>
      </c>
      <c r="B820">
        <v>11</v>
      </c>
      <c r="C820">
        <v>1</v>
      </c>
      <c r="D820">
        <v>12</v>
      </c>
      <c r="E820">
        <v>1997</v>
      </c>
      <c r="F820">
        <v>28</v>
      </c>
      <c r="G820">
        <v>493.4</v>
      </c>
    </row>
    <row r="821" spans="1:7" x14ac:dyDescent="0.25">
      <c r="A821">
        <v>32</v>
      </c>
      <c r="B821">
        <v>14</v>
      </c>
      <c r="C821">
        <v>0</v>
      </c>
      <c r="D821">
        <v>20</v>
      </c>
      <c r="E821">
        <v>2000</v>
      </c>
      <c r="F821">
        <v>25</v>
      </c>
      <c r="G821">
        <v>492.9</v>
      </c>
    </row>
    <row r="822" spans="1:7" x14ac:dyDescent="0.25">
      <c r="A822">
        <v>47</v>
      </c>
      <c r="B822">
        <v>11</v>
      </c>
      <c r="C822">
        <v>4</v>
      </c>
      <c r="D822">
        <v>22</v>
      </c>
      <c r="E822">
        <v>2022</v>
      </c>
      <c r="F822">
        <v>3</v>
      </c>
      <c r="G822">
        <v>494.7</v>
      </c>
    </row>
    <row r="823" spans="1:7" x14ac:dyDescent="0.25">
      <c r="A823">
        <v>59</v>
      </c>
      <c r="B823">
        <v>12</v>
      </c>
      <c r="C823">
        <v>5</v>
      </c>
      <c r="D823">
        <v>16</v>
      </c>
      <c r="E823">
        <v>2016</v>
      </c>
      <c r="F823">
        <v>9</v>
      </c>
      <c r="G823">
        <v>493.8</v>
      </c>
    </row>
    <row r="824" spans="1:7" x14ac:dyDescent="0.25">
      <c r="A824">
        <v>34</v>
      </c>
      <c r="B824">
        <v>16</v>
      </c>
      <c r="C824">
        <v>3</v>
      </c>
      <c r="D824">
        <v>22</v>
      </c>
      <c r="E824">
        <v>2009</v>
      </c>
      <c r="F824">
        <v>16</v>
      </c>
      <c r="G824">
        <v>495.6</v>
      </c>
    </row>
    <row r="825" spans="1:7" x14ac:dyDescent="0.25">
      <c r="A825">
        <v>22</v>
      </c>
      <c r="B825">
        <v>4</v>
      </c>
      <c r="C825">
        <v>0</v>
      </c>
      <c r="D825">
        <v>12</v>
      </c>
      <c r="E825">
        <v>2001</v>
      </c>
      <c r="F825">
        <v>24</v>
      </c>
      <c r="G825">
        <v>497.4</v>
      </c>
    </row>
    <row r="826" spans="1:7" x14ac:dyDescent="0.25">
      <c r="A826">
        <v>46</v>
      </c>
      <c r="B826">
        <v>28</v>
      </c>
      <c r="C826">
        <v>4</v>
      </c>
      <c r="D826">
        <v>12</v>
      </c>
      <c r="E826">
        <v>2020</v>
      </c>
      <c r="F826">
        <v>5</v>
      </c>
      <c r="G826">
        <v>489.5</v>
      </c>
    </row>
    <row r="827" spans="1:7" x14ac:dyDescent="0.25">
      <c r="A827">
        <v>21</v>
      </c>
      <c r="B827">
        <v>3</v>
      </c>
      <c r="C827">
        <v>3</v>
      </c>
      <c r="D827">
        <v>20</v>
      </c>
      <c r="E827">
        <v>2016</v>
      </c>
      <c r="F827">
        <v>9</v>
      </c>
      <c r="G827">
        <v>501.3</v>
      </c>
    </row>
    <row r="828" spans="1:7" x14ac:dyDescent="0.25">
      <c r="A828">
        <v>27</v>
      </c>
      <c r="B828">
        <v>9</v>
      </c>
      <c r="C828">
        <v>2</v>
      </c>
      <c r="D828">
        <v>23</v>
      </c>
      <c r="E828">
        <v>2021</v>
      </c>
      <c r="F828">
        <v>4</v>
      </c>
      <c r="G828">
        <v>496.45</v>
      </c>
    </row>
    <row r="829" spans="1:7" x14ac:dyDescent="0.25">
      <c r="A829">
        <v>34</v>
      </c>
      <c r="B829">
        <v>16</v>
      </c>
      <c r="C829">
        <v>3</v>
      </c>
      <c r="D829">
        <v>18</v>
      </c>
      <c r="E829">
        <v>1999</v>
      </c>
      <c r="F829">
        <v>26</v>
      </c>
      <c r="G829">
        <v>496.4</v>
      </c>
    </row>
    <row r="830" spans="1:7" x14ac:dyDescent="0.25">
      <c r="A830">
        <v>27</v>
      </c>
      <c r="B830">
        <v>9</v>
      </c>
      <c r="C830">
        <v>1</v>
      </c>
      <c r="D830">
        <v>25</v>
      </c>
      <c r="E830">
        <v>1992</v>
      </c>
      <c r="F830">
        <v>33</v>
      </c>
      <c r="G830">
        <v>497.95</v>
      </c>
    </row>
    <row r="831" spans="1:7" x14ac:dyDescent="0.25">
      <c r="A831">
        <v>34</v>
      </c>
      <c r="B831">
        <v>5</v>
      </c>
      <c r="C831">
        <v>1</v>
      </c>
      <c r="D831">
        <v>25</v>
      </c>
      <c r="E831">
        <v>2016</v>
      </c>
      <c r="F831">
        <v>9</v>
      </c>
      <c r="G831">
        <v>495.35</v>
      </c>
    </row>
    <row r="832" spans="1:7" x14ac:dyDescent="0.25">
      <c r="A832">
        <v>37</v>
      </c>
      <c r="B832">
        <v>17</v>
      </c>
      <c r="C832">
        <v>2</v>
      </c>
      <c r="D832">
        <v>22</v>
      </c>
      <c r="E832">
        <v>2024</v>
      </c>
      <c r="F832">
        <v>1</v>
      </c>
      <c r="G832">
        <v>491.7</v>
      </c>
    </row>
    <row r="833" spans="1:7" x14ac:dyDescent="0.25">
      <c r="A833">
        <v>41</v>
      </c>
      <c r="B833">
        <v>18</v>
      </c>
      <c r="C833">
        <v>0</v>
      </c>
      <c r="D833">
        <v>12</v>
      </c>
      <c r="E833">
        <v>2020</v>
      </c>
      <c r="F833">
        <v>5</v>
      </c>
      <c r="G833">
        <v>487.5</v>
      </c>
    </row>
    <row r="834" spans="1:7" x14ac:dyDescent="0.25">
      <c r="A834">
        <v>22</v>
      </c>
      <c r="B834">
        <v>4</v>
      </c>
      <c r="C834">
        <v>4</v>
      </c>
      <c r="D834">
        <v>17</v>
      </c>
      <c r="E834">
        <v>2004</v>
      </c>
      <c r="F834">
        <v>21</v>
      </c>
      <c r="G834">
        <v>503.35</v>
      </c>
    </row>
    <row r="835" spans="1:7" x14ac:dyDescent="0.25">
      <c r="A835">
        <v>51</v>
      </c>
      <c r="B835">
        <v>33</v>
      </c>
      <c r="C835">
        <v>3</v>
      </c>
      <c r="D835">
        <v>13</v>
      </c>
      <c r="E835">
        <v>2005</v>
      </c>
      <c r="F835">
        <v>20</v>
      </c>
      <c r="G835">
        <v>487.05</v>
      </c>
    </row>
    <row r="836" spans="1:7" x14ac:dyDescent="0.25">
      <c r="A836">
        <v>23</v>
      </c>
      <c r="B836">
        <v>5</v>
      </c>
      <c r="C836">
        <v>1</v>
      </c>
      <c r="D836">
        <v>18</v>
      </c>
      <c r="E836">
        <v>2002</v>
      </c>
      <c r="F836">
        <v>23</v>
      </c>
      <c r="G836">
        <v>498.6</v>
      </c>
    </row>
    <row r="837" spans="1:7" x14ac:dyDescent="0.25">
      <c r="A837">
        <v>19</v>
      </c>
      <c r="B837">
        <v>1</v>
      </c>
      <c r="C837">
        <v>0</v>
      </c>
      <c r="D837">
        <v>17</v>
      </c>
      <c r="E837">
        <v>2024</v>
      </c>
      <c r="F837">
        <v>1</v>
      </c>
      <c r="G837">
        <v>496.85</v>
      </c>
    </row>
    <row r="838" spans="1:7" x14ac:dyDescent="0.25">
      <c r="A838">
        <v>30</v>
      </c>
      <c r="B838">
        <v>2</v>
      </c>
      <c r="C838">
        <v>2</v>
      </c>
      <c r="D838">
        <v>24</v>
      </c>
      <c r="E838">
        <v>2000</v>
      </c>
      <c r="F838">
        <v>25</v>
      </c>
      <c r="G838">
        <v>500.1</v>
      </c>
    </row>
    <row r="839" spans="1:7" x14ac:dyDescent="0.25">
      <c r="A839">
        <v>60</v>
      </c>
      <c r="B839">
        <v>27</v>
      </c>
      <c r="C839">
        <v>5</v>
      </c>
      <c r="D839">
        <v>18</v>
      </c>
      <c r="E839">
        <v>2010</v>
      </c>
      <c r="F839">
        <v>15</v>
      </c>
      <c r="G839">
        <v>489.8</v>
      </c>
    </row>
    <row r="840" spans="1:7" x14ac:dyDescent="0.25">
      <c r="A840">
        <v>60</v>
      </c>
      <c r="B840">
        <v>9</v>
      </c>
      <c r="C840">
        <v>1</v>
      </c>
      <c r="D840">
        <v>24</v>
      </c>
      <c r="E840">
        <v>2000</v>
      </c>
      <c r="F840">
        <v>25</v>
      </c>
      <c r="G840">
        <v>490.5</v>
      </c>
    </row>
    <row r="841" spans="1:7" x14ac:dyDescent="0.25">
      <c r="A841">
        <v>65</v>
      </c>
      <c r="B841">
        <v>34</v>
      </c>
      <c r="C841">
        <v>2</v>
      </c>
      <c r="D841">
        <v>17</v>
      </c>
      <c r="E841">
        <v>2019</v>
      </c>
      <c r="F841">
        <v>6</v>
      </c>
      <c r="G841">
        <v>481.25</v>
      </c>
    </row>
    <row r="842" spans="1:7" x14ac:dyDescent="0.25">
      <c r="A842">
        <v>28</v>
      </c>
      <c r="B842">
        <v>10</v>
      </c>
      <c r="C842">
        <v>3</v>
      </c>
      <c r="D842">
        <v>21</v>
      </c>
      <c r="E842">
        <v>2024</v>
      </c>
      <c r="F842">
        <v>1</v>
      </c>
      <c r="G842">
        <v>497.05</v>
      </c>
    </row>
    <row r="843" spans="1:7" x14ac:dyDescent="0.25">
      <c r="A843">
        <v>64</v>
      </c>
      <c r="B843">
        <v>14</v>
      </c>
      <c r="C843">
        <v>4</v>
      </c>
      <c r="D843">
        <v>16</v>
      </c>
      <c r="E843">
        <v>2011</v>
      </c>
      <c r="F843">
        <v>14</v>
      </c>
      <c r="G843">
        <v>491.2</v>
      </c>
    </row>
    <row r="844" spans="1:7" x14ac:dyDescent="0.25">
      <c r="A844">
        <v>40</v>
      </c>
      <c r="B844">
        <v>22</v>
      </c>
      <c r="C844">
        <v>1</v>
      </c>
      <c r="D844">
        <v>23</v>
      </c>
      <c r="E844">
        <v>2020</v>
      </c>
      <c r="F844">
        <v>5</v>
      </c>
      <c r="G844">
        <v>488.55</v>
      </c>
    </row>
    <row r="845" spans="1:7" x14ac:dyDescent="0.25">
      <c r="A845">
        <v>33</v>
      </c>
      <c r="B845">
        <v>6</v>
      </c>
      <c r="C845">
        <v>1</v>
      </c>
      <c r="D845">
        <v>17</v>
      </c>
      <c r="E845">
        <v>2003</v>
      </c>
      <c r="F845">
        <v>22</v>
      </c>
      <c r="G845">
        <v>496.15</v>
      </c>
    </row>
    <row r="846" spans="1:7" x14ac:dyDescent="0.25">
      <c r="A846">
        <v>48</v>
      </c>
      <c r="B846">
        <v>11</v>
      </c>
      <c r="C846">
        <v>3</v>
      </c>
      <c r="D846">
        <v>15</v>
      </c>
      <c r="E846">
        <v>2013</v>
      </c>
      <c r="F846">
        <v>12</v>
      </c>
      <c r="G846">
        <v>493.55</v>
      </c>
    </row>
    <row r="847" spans="1:7" x14ac:dyDescent="0.25">
      <c r="A847">
        <v>28</v>
      </c>
      <c r="B847">
        <v>10</v>
      </c>
      <c r="C847">
        <v>5</v>
      </c>
      <c r="D847">
        <v>17</v>
      </c>
      <c r="E847">
        <v>2021</v>
      </c>
      <c r="F847">
        <v>4</v>
      </c>
      <c r="G847">
        <v>500.15</v>
      </c>
    </row>
    <row r="848" spans="1:7" x14ac:dyDescent="0.25">
      <c r="A848">
        <v>33</v>
      </c>
      <c r="B848">
        <v>15</v>
      </c>
      <c r="C848">
        <v>0</v>
      </c>
      <c r="D848">
        <v>11</v>
      </c>
      <c r="E848">
        <v>2025</v>
      </c>
      <c r="F848">
        <v>0</v>
      </c>
      <c r="G848">
        <v>489.45</v>
      </c>
    </row>
    <row r="849" spans="1:7" x14ac:dyDescent="0.25">
      <c r="A849">
        <v>25</v>
      </c>
      <c r="B849">
        <v>7</v>
      </c>
      <c r="C849">
        <v>4</v>
      </c>
      <c r="D849">
        <v>11</v>
      </c>
      <c r="E849">
        <v>2021</v>
      </c>
      <c r="F849">
        <v>4</v>
      </c>
      <c r="G849">
        <v>499.85</v>
      </c>
    </row>
    <row r="850" spans="1:7" x14ac:dyDescent="0.25">
      <c r="A850">
        <v>21</v>
      </c>
      <c r="B850">
        <v>3</v>
      </c>
      <c r="C850">
        <v>1</v>
      </c>
      <c r="D850">
        <v>19</v>
      </c>
      <c r="E850">
        <v>2004</v>
      </c>
      <c r="F850">
        <v>21</v>
      </c>
      <c r="G850">
        <v>499.45</v>
      </c>
    </row>
    <row r="851" spans="1:7" x14ac:dyDescent="0.25">
      <c r="A851">
        <v>57</v>
      </c>
      <c r="B851">
        <v>19</v>
      </c>
      <c r="C851">
        <v>4</v>
      </c>
      <c r="D851">
        <v>24</v>
      </c>
      <c r="E851">
        <v>2024</v>
      </c>
      <c r="F851">
        <v>1</v>
      </c>
      <c r="G851">
        <v>490.2</v>
      </c>
    </row>
    <row r="852" spans="1:7" x14ac:dyDescent="0.25">
      <c r="A852">
        <v>21</v>
      </c>
      <c r="B852">
        <v>3</v>
      </c>
      <c r="C852">
        <v>1</v>
      </c>
      <c r="D852">
        <v>15</v>
      </c>
      <c r="E852">
        <v>1992</v>
      </c>
      <c r="F852">
        <v>33</v>
      </c>
      <c r="G852">
        <v>500.45</v>
      </c>
    </row>
    <row r="853" spans="1:7" x14ac:dyDescent="0.25">
      <c r="A853">
        <v>42</v>
      </c>
      <c r="B853">
        <v>3</v>
      </c>
      <c r="C853">
        <v>4</v>
      </c>
      <c r="D853">
        <v>23</v>
      </c>
      <c r="E853">
        <v>2005</v>
      </c>
      <c r="F853">
        <v>20</v>
      </c>
      <c r="G853">
        <v>499.85</v>
      </c>
    </row>
    <row r="854" spans="1:7" x14ac:dyDescent="0.25">
      <c r="A854">
        <v>20</v>
      </c>
      <c r="B854">
        <v>2</v>
      </c>
      <c r="C854">
        <v>2</v>
      </c>
      <c r="D854">
        <v>15</v>
      </c>
      <c r="E854">
        <v>1994</v>
      </c>
      <c r="F854">
        <v>31</v>
      </c>
      <c r="G854">
        <v>502.25</v>
      </c>
    </row>
    <row r="855" spans="1:7" x14ac:dyDescent="0.25">
      <c r="A855">
        <v>49</v>
      </c>
      <c r="B855">
        <v>19</v>
      </c>
      <c r="C855">
        <v>1</v>
      </c>
      <c r="D855">
        <v>13</v>
      </c>
      <c r="E855">
        <v>2010</v>
      </c>
      <c r="F855">
        <v>15</v>
      </c>
      <c r="G855">
        <v>488.15</v>
      </c>
    </row>
    <row r="856" spans="1:7" x14ac:dyDescent="0.25">
      <c r="A856">
        <v>20</v>
      </c>
      <c r="B856">
        <v>2</v>
      </c>
      <c r="C856">
        <v>4</v>
      </c>
      <c r="D856">
        <v>15</v>
      </c>
      <c r="E856">
        <v>1999</v>
      </c>
      <c r="F856">
        <v>26</v>
      </c>
      <c r="G856">
        <v>504.75</v>
      </c>
    </row>
    <row r="857" spans="1:7" x14ac:dyDescent="0.25">
      <c r="A857">
        <v>44</v>
      </c>
      <c r="B857">
        <v>26</v>
      </c>
      <c r="C857">
        <v>0</v>
      </c>
      <c r="D857">
        <v>13</v>
      </c>
      <c r="E857">
        <v>2008</v>
      </c>
      <c r="F857">
        <v>17</v>
      </c>
      <c r="G857">
        <v>485.75</v>
      </c>
    </row>
    <row r="858" spans="1:7" x14ac:dyDescent="0.25">
      <c r="A858">
        <v>46</v>
      </c>
      <c r="B858">
        <v>28</v>
      </c>
      <c r="C858">
        <v>2</v>
      </c>
      <c r="D858">
        <v>19</v>
      </c>
      <c r="E858">
        <v>2014</v>
      </c>
      <c r="F858">
        <v>11</v>
      </c>
      <c r="G858">
        <v>487.45</v>
      </c>
    </row>
    <row r="859" spans="1:7" x14ac:dyDescent="0.25">
      <c r="A859">
        <v>49</v>
      </c>
      <c r="B859">
        <v>31</v>
      </c>
      <c r="C859">
        <v>2</v>
      </c>
      <c r="D859">
        <v>19</v>
      </c>
      <c r="E859">
        <v>1993</v>
      </c>
      <c r="F859">
        <v>32</v>
      </c>
      <c r="G859">
        <v>488.05</v>
      </c>
    </row>
    <row r="860" spans="1:7" x14ac:dyDescent="0.25">
      <c r="A860">
        <v>36</v>
      </c>
      <c r="B860">
        <v>18</v>
      </c>
      <c r="C860">
        <v>0</v>
      </c>
      <c r="D860">
        <v>16</v>
      </c>
      <c r="E860">
        <v>2018</v>
      </c>
      <c r="F860">
        <v>7</v>
      </c>
      <c r="G860">
        <v>488.9</v>
      </c>
    </row>
    <row r="861" spans="1:7" x14ac:dyDescent="0.25">
      <c r="A861">
        <v>38</v>
      </c>
      <c r="B861">
        <v>20</v>
      </c>
      <c r="C861">
        <v>4</v>
      </c>
      <c r="D861">
        <v>25</v>
      </c>
      <c r="E861">
        <v>2008</v>
      </c>
      <c r="F861">
        <v>17</v>
      </c>
      <c r="G861">
        <v>495.35</v>
      </c>
    </row>
    <row r="862" spans="1:7" x14ac:dyDescent="0.25">
      <c r="A862">
        <v>22</v>
      </c>
      <c r="B862">
        <v>1</v>
      </c>
      <c r="C862">
        <v>3</v>
      </c>
      <c r="D862">
        <v>11</v>
      </c>
      <c r="E862">
        <v>1991</v>
      </c>
      <c r="F862">
        <v>34</v>
      </c>
      <c r="G862">
        <v>503.75</v>
      </c>
    </row>
    <row r="863" spans="1:7" x14ac:dyDescent="0.25">
      <c r="A863">
        <v>35</v>
      </c>
      <c r="B863">
        <v>14</v>
      </c>
      <c r="C863">
        <v>0</v>
      </c>
      <c r="D863">
        <v>17</v>
      </c>
      <c r="E863">
        <v>1999</v>
      </c>
      <c r="F863">
        <v>26</v>
      </c>
      <c r="G863">
        <v>492.25</v>
      </c>
    </row>
    <row r="864" spans="1:7" x14ac:dyDescent="0.25">
      <c r="A864">
        <v>45</v>
      </c>
      <c r="B864">
        <v>27</v>
      </c>
      <c r="C864">
        <v>4</v>
      </c>
      <c r="D864">
        <v>17</v>
      </c>
      <c r="E864">
        <v>2014</v>
      </c>
      <c r="F864">
        <v>11</v>
      </c>
      <c r="G864">
        <v>490.85</v>
      </c>
    </row>
    <row r="865" spans="1:7" x14ac:dyDescent="0.25">
      <c r="A865">
        <v>59</v>
      </c>
      <c r="B865">
        <v>35</v>
      </c>
      <c r="C865">
        <v>0</v>
      </c>
      <c r="D865">
        <v>24</v>
      </c>
      <c r="E865">
        <v>2009</v>
      </c>
      <c r="F865">
        <v>16</v>
      </c>
      <c r="G865">
        <v>480.5</v>
      </c>
    </row>
    <row r="866" spans="1:7" x14ac:dyDescent="0.25">
      <c r="A866">
        <v>39</v>
      </c>
      <c r="B866">
        <v>5</v>
      </c>
      <c r="C866">
        <v>0</v>
      </c>
      <c r="D866">
        <v>20</v>
      </c>
      <c r="E866">
        <v>2008</v>
      </c>
      <c r="F866">
        <v>17</v>
      </c>
      <c r="G866">
        <v>493.4</v>
      </c>
    </row>
    <row r="867" spans="1:7" x14ac:dyDescent="0.25">
      <c r="A867">
        <v>38</v>
      </c>
      <c r="B867">
        <v>20</v>
      </c>
      <c r="C867">
        <v>1</v>
      </c>
      <c r="D867">
        <v>20</v>
      </c>
      <c r="E867">
        <v>2012</v>
      </c>
      <c r="F867">
        <v>13</v>
      </c>
      <c r="G867">
        <v>490.2</v>
      </c>
    </row>
    <row r="868" spans="1:7" x14ac:dyDescent="0.25">
      <c r="A868">
        <v>23</v>
      </c>
      <c r="B868">
        <v>5</v>
      </c>
      <c r="C868">
        <v>4</v>
      </c>
      <c r="D868">
        <v>14</v>
      </c>
      <c r="E868">
        <v>2013</v>
      </c>
      <c r="F868">
        <v>12</v>
      </c>
      <c r="G868">
        <v>501.8</v>
      </c>
    </row>
    <row r="869" spans="1:7" x14ac:dyDescent="0.25">
      <c r="A869">
        <v>18</v>
      </c>
      <c r="B869">
        <v>0</v>
      </c>
      <c r="C869">
        <v>3</v>
      </c>
      <c r="D869">
        <v>18</v>
      </c>
      <c r="E869">
        <v>2000</v>
      </c>
      <c r="F869">
        <v>25</v>
      </c>
      <c r="G869">
        <v>504.3</v>
      </c>
    </row>
    <row r="870" spans="1:7" x14ac:dyDescent="0.25">
      <c r="A870">
        <v>22</v>
      </c>
      <c r="B870">
        <v>4</v>
      </c>
      <c r="C870">
        <v>1</v>
      </c>
      <c r="D870">
        <v>16</v>
      </c>
      <c r="E870">
        <v>2023</v>
      </c>
      <c r="F870">
        <v>2</v>
      </c>
      <c r="G870">
        <v>496.9</v>
      </c>
    </row>
    <row r="871" spans="1:7" x14ac:dyDescent="0.25">
      <c r="A871">
        <v>58</v>
      </c>
      <c r="B871">
        <v>39</v>
      </c>
      <c r="C871">
        <v>0</v>
      </c>
      <c r="D871">
        <v>14</v>
      </c>
      <c r="E871">
        <v>2017</v>
      </c>
      <c r="F871">
        <v>8</v>
      </c>
      <c r="G871">
        <v>478.2</v>
      </c>
    </row>
    <row r="872" spans="1:7" x14ac:dyDescent="0.25">
      <c r="A872">
        <v>29</v>
      </c>
      <c r="B872">
        <v>11</v>
      </c>
      <c r="C872">
        <v>5</v>
      </c>
      <c r="D872">
        <v>14</v>
      </c>
      <c r="E872">
        <v>1994</v>
      </c>
      <c r="F872">
        <v>31</v>
      </c>
      <c r="G872">
        <v>502.2</v>
      </c>
    </row>
    <row r="873" spans="1:7" x14ac:dyDescent="0.25">
      <c r="A873">
        <v>43</v>
      </c>
      <c r="B873">
        <v>14</v>
      </c>
      <c r="C873">
        <v>0</v>
      </c>
      <c r="D873">
        <v>12</v>
      </c>
      <c r="E873">
        <v>1994</v>
      </c>
      <c r="F873">
        <v>31</v>
      </c>
      <c r="G873">
        <v>490.9</v>
      </c>
    </row>
    <row r="874" spans="1:7" x14ac:dyDescent="0.25">
      <c r="A874">
        <v>63</v>
      </c>
      <c r="B874">
        <v>32</v>
      </c>
      <c r="C874">
        <v>0</v>
      </c>
      <c r="D874">
        <v>24</v>
      </c>
      <c r="E874">
        <v>2010</v>
      </c>
      <c r="F874">
        <v>15</v>
      </c>
      <c r="G874">
        <v>480.5</v>
      </c>
    </row>
    <row r="875" spans="1:7" x14ac:dyDescent="0.25">
      <c r="A875">
        <v>51</v>
      </c>
      <c r="B875">
        <v>33</v>
      </c>
      <c r="C875">
        <v>4</v>
      </c>
      <c r="D875">
        <v>12</v>
      </c>
      <c r="E875">
        <v>2001</v>
      </c>
      <c r="F875">
        <v>24</v>
      </c>
      <c r="G875">
        <v>488.9</v>
      </c>
    </row>
    <row r="876" spans="1:7" x14ac:dyDescent="0.25">
      <c r="A876">
        <v>31</v>
      </c>
      <c r="B876">
        <v>13</v>
      </c>
      <c r="C876">
        <v>4</v>
      </c>
      <c r="D876">
        <v>22</v>
      </c>
      <c r="E876">
        <v>1993</v>
      </c>
      <c r="F876">
        <v>32</v>
      </c>
      <c r="G876">
        <v>500.2</v>
      </c>
    </row>
    <row r="877" spans="1:7" x14ac:dyDescent="0.25">
      <c r="A877">
        <v>43</v>
      </c>
      <c r="B877">
        <v>7</v>
      </c>
      <c r="C877">
        <v>1</v>
      </c>
      <c r="D877">
        <v>24</v>
      </c>
      <c r="E877">
        <v>2009</v>
      </c>
      <c r="F877">
        <v>16</v>
      </c>
      <c r="G877">
        <v>493.6</v>
      </c>
    </row>
    <row r="878" spans="1:7" x14ac:dyDescent="0.25">
      <c r="A878">
        <v>62</v>
      </c>
      <c r="B878">
        <v>35</v>
      </c>
      <c r="C878">
        <v>3</v>
      </c>
      <c r="D878">
        <v>14</v>
      </c>
      <c r="E878">
        <v>2014</v>
      </c>
      <c r="F878">
        <v>11</v>
      </c>
      <c r="G878">
        <v>483.4</v>
      </c>
    </row>
    <row r="879" spans="1:7" x14ac:dyDescent="0.25">
      <c r="A879">
        <v>44</v>
      </c>
      <c r="B879">
        <v>26</v>
      </c>
      <c r="C879">
        <v>1</v>
      </c>
      <c r="D879">
        <v>15</v>
      </c>
      <c r="E879">
        <v>2003</v>
      </c>
      <c r="F879">
        <v>22</v>
      </c>
      <c r="G879">
        <v>487.85</v>
      </c>
    </row>
    <row r="880" spans="1:7" x14ac:dyDescent="0.25">
      <c r="A880">
        <v>26</v>
      </c>
      <c r="B880">
        <v>8</v>
      </c>
      <c r="C880">
        <v>2</v>
      </c>
      <c r="D880">
        <v>18</v>
      </c>
      <c r="E880">
        <v>2000</v>
      </c>
      <c r="F880">
        <v>25</v>
      </c>
      <c r="G880">
        <v>498.8</v>
      </c>
    </row>
    <row r="881" spans="1:7" x14ac:dyDescent="0.25">
      <c r="A881">
        <v>43</v>
      </c>
      <c r="B881">
        <v>13</v>
      </c>
      <c r="C881">
        <v>0</v>
      </c>
      <c r="D881">
        <v>25</v>
      </c>
      <c r="E881">
        <v>2021</v>
      </c>
      <c r="F881">
        <v>4</v>
      </c>
      <c r="G881">
        <v>489.15</v>
      </c>
    </row>
    <row r="882" spans="1:7" x14ac:dyDescent="0.25">
      <c r="A882">
        <v>64</v>
      </c>
      <c r="B882">
        <v>13</v>
      </c>
      <c r="C882">
        <v>5</v>
      </c>
      <c r="D882">
        <v>16</v>
      </c>
      <c r="E882">
        <v>2000</v>
      </c>
      <c r="F882">
        <v>25</v>
      </c>
      <c r="G882">
        <v>494.1</v>
      </c>
    </row>
    <row r="883" spans="1:7" x14ac:dyDescent="0.25">
      <c r="A883">
        <v>39</v>
      </c>
      <c r="B883">
        <v>1</v>
      </c>
      <c r="C883">
        <v>0</v>
      </c>
      <c r="D883">
        <v>24</v>
      </c>
      <c r="E883">
        <v>2007</v>
      </c>
      <c r="F883">
        <v>18</v>
      </c>
      <c r="G883">
        <v>494.9</v>
      </c>
    </row>
    <row r="884" spans="1:7" x14ac:dyDescent="0.25">
      <c r="A884">
        <v>64</v>
      </c>
      <c r="B884">
        <v>36</v>
      </c>
      <c r="C884">
        <v>0</v>
      </c>
      <c r="D884">
        <v>25</v>
      </c>
      <c r="E884">
        <v>2016</v>
      </c>
      <c r="F884">
        <v>9</v>
      </c>
      <c r="G884">
        <v>478.55</v>
      </c>
    </row>
    <row r="885" spans="1:7" x14ac:dyDescent="0.25">
      <c r="A885">
        <v>47</v>
      </c>
      <c r="B885">
        <v>4</v>
      </c>
      <c r="C885">
        <v>1</v>
      </c>
      <c r="D885">
        <v>14</v>
      </c>
      <c r="E885">
        <v>2007</v>
      </c>
      <c r="F885">
        <v>18</v>
      </c>
      <c r="G885">
        <v>493.4</v>
      </c>
    </row>
    <row r="886" spans="1:7" x14ac:dyDescent="0.25">
      <c r="A886">
        <v>60</v>
      </c>
      <c r="B886">
        <v>37</v>
      </c>
      <c r="C886">
        <v>5</v>
      </c>
      <c r="D886">
        <v>23</v>
      </c>
      <c r="E886">
        <v>2012</v>
      </c>
      <c r="F886">
        <v>13</v>
      </c>
      <c r="G886">
        <v>486.85</v>
      </c>
    </row>
    <row r="887" spans="1:7" x14ac:dyDescent="0.25">
      <c r="A887">
        <v>65</v>
      </c>
      <c r="B887">
        <v>40</v>
      </c>
      <c r="C887">
        <v>5</v>
      </c>
      <c r="D887">
        <v>21</v>
      </c>
      <c r="E887">
        <v>2000</v>
      </c>
      <c r="F887">
        <v>25</v>
      </c>
      <c r="G887">
        <v>486.05</v>
      </c>
    </row>
    <row r="888" spans="1:7" x14ac:dyDescent="0.25">
      <c r="A888">
        <v>34</v>
      </c>
      <c r="B888">
        <v>13</v>
      </c>
      <c r="C888">
        <v>5</v>
      </c>
      <c r="D888">
        <v>17</v>
      </c>
      <c r="E888">
        <v>2010</v>
      </c>
      <c r="F888">
        <v>15</v>
      </c>
      <c r="G888">
        <v>499.15</v>
      </c>
    </row>
    <row r="889" spans="1:7" x14ac:dyDescent="0.25">
      <c r="A889">
        <v>43</v>
      </c>
      <c r="B889">
        <v>25</v>
      </c>
      <c r="C889">
        <v>1</v>
      </c>
      <c r="D889">
        <v>18</v>
      </c>
      <c r="E889">
        <v>1994</v>
      </c>
      <c r="F889">
        <v>31</v>
      </c>
      <c r="G889">
        <v>489.4</v>
      </c>
    </row>
    <row r="890" spans="1:7" x14ac:dyDescent="0.25">
      <c r="A890">
        <v>53</v>
      </c>
      <c r="B890">
        <v>24</v>
      </c>
      <c r="C890">
        <v>0</v>
      </c>
      <c r="D890">
        <v>12</v>
      </c>
      <c r="E890">
        <v>2012</v>
      </c>
      <c r="F890">
        <v>13</v>
      </c>
      <c r="G890">
        <v>484.1</v>
      </c>
    </row>
    <row r="891" spans="1:7" x14ac:dyDescent="0.25">
      <c r="A891">
        <v>18</v>
      </c>
      <c r="B891">
        <v>0</v>
      </c>
      <c r="C891">
        <v>1</v>
      </c>
      <c r="D891">
        <v>22</v>
      </c>
      <c r="E891">
        <v>2014</v>
      </c>
      <c r="F891">
        <v>11</v>
      </c>
      <c r="G891">
        <v>500.1</v>
      </c>
    </row>
    <row r="892" spans="1:7" x14ac:dyDescent="0.25">
      <c r="A892">
        <v>25</v>
      </c>
      <c r="B892">
        <v>1</v>
      </c>
      <c r="C892">
        <v>4</v>
      </c>
      <c r="D892">
        <v>17</v>
      </c>
      <c r="E892">
        <v>1999</v>
      </c>
      <c r="F892">
        <v>26</v>
      </c>
      <c r="G892">
        <v>504.15</v>
      </c>
    </row>
    <row r="893" spans="1:7" x14ac:dyDescent="0.25">
      <c r="A893">
        <v>52</v>
      </c>
      <c r="B893">
        <v>34</v>
      </c>
      <c r="C893">
        <v>4</v>
      </c>
      <c r="D893">
        <v>25</v>
      </c>
      <c r="E893">
        <v>2011</v>
      </c>
      <c r="F893">
        <v>14</v>
      </c>
      <c r="G893">
        <v>488.05</v>
      </c>
    </row>
    <row r="894" spans="1:7" x14ac:dyDescent="0.25">
      <c r="A894">
        <v>32</v>
      </c>
      <c r="B894">
        <v>5</v>
      </c>
      <c r="C894">
        <v>1</v>
      </c>
      <c r="D894">
        <v>24</v>
      </c>
      <c r="E894">
        <v>2008</v>
      </c>
      <c r="F894">
        <v>17</v>
      </c>
      <c r="G894">
        <v>496.5</v>
      </c>
    </row>
    <row r="895" spans="1:7" x14ac:dyDescent="0.25">
      <c r="A895">
        <v>64</v>
      </c>
      <c r="B895">
        <v>16</v>
      </c>
      <c r="C895">
        <v>5</v>
      </c>
      <c r="D895">
        <v>12</v>
      </c>
      <c r="E895">
        <v>1990</v>
      </c>
      <c r="F895">
        <v>35</v>
      </c>
      <c r="G895">
        <v>494</v>
      </c>
    </row>
    <row r="896" spans="1:7" x14ac:dyDescent="0.25">
      <c r="A896">
        <v>39</v>
      </c>
      <c r="B896">
        <v>21</v>
      </c>
      <c r="C896">
        <v>0</v>
      </c>
      <c r="D896">
        <v>12</v>
      </c>
      <c r="E896">
        <v>1996</v>
      </c>
      <c r="F896">
        <v>29</v>
      </c>
      <c r="G896">
        <v>489.4</v>
      </c>
    </row>
    <row r="897" spans="1:7" x14ac:dyDescent="0.25">
      <c r="A897">
        <v>31</v>
      </c>
      <c r="B897">
        <v>13</v>
      </c>
      <c r="C897">
        <v>1</v>
      </c>
      <c r="D897">
        <v>18</v>
      </c>
      <c r="E897">
        <v>1993</v>
      </c>
      <c r="F897">
        <v>32</v>
      </c>
      <c r="G897">
        <v>495.5</v>
      </c>
    </row>
    <row r="898" spans="1:7" x14ac:dyDescent="0.25">
      <c r="A898">
        <v>43</v>
      </c>
      <c r="B898">
        <v>1</v>
      </c>
      <c r="C898">
        <v>1</v>
      </c>
      <c r="D898">
        <v>12</v>
      </c>
      <c r="E898">
        <v>1990</v>
      </c>
      <c r="F898">
        <v>35</v>
      </c>
      <c r="G898">
        <v>496.7</v>
      </c>
    </row>
    <row r="899" spans="1:7" x14ac:dyDescent="0.25">
      <c r="A899">
        <v>45</v>
      </c>
      <c r="B899">
        <v>27</v>
      </c>
      <c r="C899">
        <v>1</v>
      </c>
      <c r="D899">
        <v>25</v>
      </c>
      <c r="E899">
        <v>2004</v>
      </c>
      <c r="F899">
        <v>21</v>
      </c>
      <c r="G899">
        <v>487.75</v>
      </c>
    </row>
    <row r="900" spans="1:7" x14ac:dyDescent="0.25">
      <c r="A900">
        <v>40</v>
      </c>
      <c r="B900">
        <v>22</v>
      </c>
      <c r="C900">
        <v>2</v>
      </c>
      <c r="D900">
        <v>21</v>
      </c>
      <c r="E900">
        <v>2001</v>
      </c>
      <c r="F900">
        <v>24</v>
      </c>
      <c r="G900">
        <v>491.85</v>
      </c>
    </row>
    <row r="901" spans="1:7" x14ac:dyDescent="0.25">
      <c r="A901">
        <v>31</v>
      </c>
      <c r="B901">
        <v>4</v>
      </c>
      <c r="C901">
        <v>4</v>
      </c>
      <c r="D901">
        <v>19</v>
      </c>
      <c r="E901">
        <v>2011</v>
      </c>
      <c r="F901">
        <v>14</v>
      </c>
      <c r="G901">
        <v>500.95</v>
      </c>
    </row>
    <row r="902" spans="1:7" x14ac:dyDescent="0.25">
      <c r="A902">
        <v>41</v>
      </c>
      <c r="B902">
        <v>0</v>
      </c>
      <c r="C902">
        <v>5</v>
      </c>
      <c r="D902">
        <v>22</v>
      </c>
      <c r="E902">
        <v>2011</v>
      </c>
      <c r="F902">
        <v>14</v>
      </c>
      <c r="G902">
        <v>501.8</v>
      </c>
    </row>
    <row r="903" spans="1:7" x14ac:dyDescent="0.25">
      <c r="A903">
        <v>19</v>
      </c>
      <c r="B903">
        <v>1</v>
      </c>
      <c r="C903">
        <v>3</v>
      </c>
      <c r="D903">
        <v>11</v>
      </c>
      <c r="E903">
        <v>2006</v>
      </c>
      <c r="F903">
        <v>19</v>
      </c>
      <c r="G903">
        <v>502.85</v>
      </c>
    </row>
    <row r="904" spans="1:7" x14ac:dyDescent="0.25">
      <c r="A904">
        <v>62</v>
      </c>
      <c r="B904">
        <v>11</v>
      </c>
      <c r="C904">
        <v>5</v>
      </c>
      <c r="D904">
        <v>25</v>
      </c>
      <c r="E904">
        <v>2018</v>
      </c>
      <c r="F904">
        <v>7</v>
      </c>
      <c r="G904">
        <v>493.75</v>
      </c>
    </row>
    <row r="905" spans="1:7" x14ac:dyDescent="0.25">
      <c r="A905">
        <v>43</v>
      </c>
      <c r="B905">
        <v>25</v>
      </c>
      <c r="C905">
        <v>3</v>
      </c>
      <c r="D905">
        <v>19</v>
      </c>
      <c r="E905">
        <v>2003</v>
      </c>
      <c r="F905">
        <v>22</v>
      </c>
      <c r="G905">
        <v>491.55</v>
      </c>
    </row>
    <row r="906" spans="1:7" x14ac:dyDescent="0.25">
      <c r="A906">
        <v>31</v>
      </c>
      <c r="B906">
        <v>13</v>
      </c>
      <c r="C906">
        <v>2</v>
      </c>
      <c r="D906">
        <v>25</v>
      </c>
      <c r="E906">
        <v>2009</v>
      </c>
      <c r="F906">
        <v>16</v>
      </c>
      <c r="G906">
        <v>495.75</v>
      </c>
    </row>
    <row r="907" spans="1:7" x14ac:dyDescent="0.25">
      <c r="A907">
        <v>24</v>
      </c>
      <c r="B907">
        <v>6</v>
      </c>
      <c r="C907">
        <v>1</v>
      </c>
      <c r="D907">
        <v>11</v>
      </c>
      <c r="E907">
        <v>2022</v>
      </c>
      <c r="F907">
        <v>3</v>
      </c>
      <c r="G907">
        <v>495.75</v>
      </c>
    </row>
    <row r="908" spans="1:7" x14ac:dyDescent="0.25">
      <c r="A908">
        <v>20</v>
      </c>
      <c r="B908">
        <v>2</v>
      </c>
      <c r="C908">
        <v>2</v>
      </c>
      <c r="D908">
        <v>20</v>
      </c>
      <c r="E908">
        <v>2004</v>
      </c>
      <c r="F908">
        <v>21</v>
      </c>
      <c r="G908">
        <v>501.5</v>
      </c>
    </row>
    <row r="909" spans="1:7" x14ac:dyDescent="0.25">
      <c r="A909">
        <v>64</v>
      </c>
      <c r="B909">
        <v>9</v>
      </c>
      <c r="C909">
        <v>2</v>
      </c>
      <c r="D909">
        <v>23</v>
      </c>
      <c r="E909">
        <v>2001</v>
      </c>
      <c r="F909">
        <v>24</v>
      </c>
      <c r="G909">
        <v>491.05</v>
      </c>
    </row>
    <row r="910" spans="1:7" x14ac:dyDescent="0.25">
      <c r="A910">
        <v>40</v>
      </c>
      <c r="B910">
        <v>2</v>
      </c>
      <c r="C910">
        <v>0</v>
      </c>
      <c r="D910">
        <v>20</v>
      </c>
      <c r="E910">
        <v>2009</v>
      </c>
      <c r="F910">
        <v>16</v>
      </c>
      <c r="G910">
        <v>494</v>
      </c>
    </row>
    <row r="911" spans="1:7" x14ac:dyDescent="0.25">
      <c r="A911">
        <v>63</v>
      </c>
      <c r="B911">
        <v>13</v>
      </c>
      <c r="C911">
        <v>4</v>
      </c>
      <c r="D911">
        <v>12</v>
      </c>
      <c r="E911">
        <v>2019</v>
      </c>
      <c r="F911">
        <v>6</v>
      </c>
      <c r="G911">
        <v>490.7</v>
      </c>
    </row>
    <row r="912" spans="1:7" x14ac:dyDescent="0.25">
      <c r="A912">
        <v>60</v>
      </c>
      <c r="B912">
        <v>15</v>
      </c>
      <c r="C912">
        <v>3</v>
      </c>
      <c r="D912">
        <v>16</v>
      </c>
      <c r="E912">
        <v>1992</v>
      </c>
      <c r="F912">
        <v>33</v>
      </c>
      <c r="G912">
        <v>492.1</v>
      </c>
    </row>
    <row r="913" spans="1:7" x14ac:dyDescent="0.25">
      <c r="A913">
        <v>64</v>
      </c>
      <c r="B913">
        <v>9</v>
      </c>
      <c r="C913">
        <v>1</v>
      </c>
      <c r="D913">
        <v>16</v>
      </c>
      <c r="E913">
        <v>2017</v>
      </c>
      <c r="F913">
        <v>8</v>
      </c>
      <c r="G913">
        <v>487.6</v>
      </c>
    </row>
    <row r="914" spans="1:7" x14ac:dyDescent="0.25">
      <c r="A914">
        <v>62</v>
      </c>
      <c r="B914">
        <v>28</v>
      </c>
      <c r="C914">
        <v>3</v>
      </c>
      <c r="D914">
        <v>11</v>
      </c>
      <c r="E914">
        <v>2015</v>
      </c>
      <c r="F914">
        <v>10</v>
      </c>
      <c r="G914">
        <v>485.25</v>
      </c>
    </row>
    <row r="915" spans="1:7" x14ac:dyDescent="0.25">
      <c r="A915">
        <v>35</v>
      </c>
      <c r="B915">
        <v>9</v>
      </c>
      <c r="C915">
        <v>5</v>
      </c>
      <c r="D915">
        <v>17</v>
      </c>
      <c r="E915">
        <v>2019</v>
      </c>
      <c r="F915">
        <v>6</v>
      </c>
      <c r="G915">
        <v>499.25</v>
      </c>
    </row>
    <row r="916" spans="1:7" x14ac:dyDescent="0.25">
      <c r="A916">
        <v>55</v>
      </c>
      <c r="B916">
        <v>11</v>
      </c>
      <c r="C916">
        <v>3</v>
      </c>
      <c r="D916">
        <v>18</v>
      </c>
      <c r="E916">
        <v>2002</v>
      </c>
      <c r="F916">
        <v>23</v>
      </c>
      <c r="G916">
        <v>493.4</v>
      </c>
    </row>
    <row r="917" spans="1:7" x14ac:dyDescent="0.25">
      <c r="A917">
        <v>52</v>
      </c>
      <c r="B917">
        <v>29</v>
      </c>
      <c r="C917">
        <v>5</v>
      </c>
      <c r="D917">
        <v>12</v>
      </c>
      <c r="E917">
        <v>2002</v>
      </c>
      <c r="F917">
        <v>23</v>
      </c>
      <c r="G917">
        <v>491.3</v>
      </c>
    </row>
    <row r="918" spans="1:7" x14ac:dyDescent="0.25">
      <c r="A918">
        <v>32</v>
      </c>
      <c r="B918">
        <v>14</v>
      </c>
      <c r="C918">
        <v>4</v>
      </c>
      <c r="D918">
        <v>18</v>
      </c>
      <c r="E918">
        <v>1991</v>
      </c>
      <c r="F918">
        <v>34</v>
      </c>
      <c r="G918">
        <v>499.7</v>
      </c>
    </row>
    <row r="919" spans="1:7" x14ac:dyDescent="0.25">
      <c r="A919">
        <v>42</v>
      </c>
      <c r="B919">
        <v>0</v>
      </c>
      <c r="C919">
        <v>5</v>
      </c>
      <c r="D919">
        <v>19</v>
      </c>
      <c r="E919">
        <v>1991</v>
      </c>
      <c r="F919">
        <v>34</v>
      </c>
      <c r="G919">
        <v>503.45</v>
      </c>
    </row>
    <row r="920" spans="1:7" x14ac:dyDescent="0.25">
      <c r="A920">
        <v>54</v>
      </c>
      <c r="B920">
        <v>4</v>
      </c>
      <c r="C920">
        <v>3</v>
      </c>
      <c r="D920">
        <v>16</v>
      </c>
      <c r="E920">
        <v>2025</v>
      </c>
      <c r="F920">
        <v>0</v>
      </c>
      <c r="G920">
        <v>493.3</v>
      </c>
    </row>
    <row r="921" spans="1:7" x14ac:dyDescent="0.25">
      <c r="A921">
        <v>45</v>
      </c>
      <c r="B921">
        <v>19</v>
      </c>
      <c r="C921">
        <v>3</v>
      </c>
      <c r="D921">
        <v>15</v>
      </c>
      <c r="E921">
        <v>2015</v>
      </c>
      <c r="F921">
        <v>10</v>
      </c>
      <c r="G921">
        <v>491.55</v>
      </c>
    </row>
    <row r="922" spans="1:7" x14ac:dyDescent="0.25">
      <c r="A922">
        <v>27</v>
      </c>
      <c r="B922">
        <v>7</v>
      </c>
      <c r="C922">
        <v>5</v>
      </c>
      <c r="D922">
        <v>22</v>
      </c>
      <c r="E922">
        <v>2000</v>
      </c>
      <c r="F922">
        <v>25</v>
      </c>
      <c r="G922">
        <v>503.6</v>
      </c>
    </row>
    <row r="923" spans="1:7" x14ac:dyDescent="0.25">
      <c r="A923">
        <v>56</v>
      </c>
      <c r="B923">
        <v>11</v>
      </c>
      <c r="C923">
        <v>2</v>
      </c>
      <c r="D923">
        <v>19</v>
      </c>
      <c r="E923">
        <v>1997</v>
      </c>
      <c r="F923">
        <v>28</v>
      </c>
      <c r="G923">
        <v>492.25</v>
      </c>
    </row>
    <row r="924" spans="1:7" x14ac:dyDescent="0.25">
      <c r="A924">
        <v>34</v>
      </c>
      <c r="B924">
        <v>0</v>
      </c>
      <c r="C924">
        <v>4</v>
      </c>
      <c r="D924">
        <v>23</v>
      </c>
      <c r="E924">
        <v>2011</v>
      </c>
      <c r="F924">
        <v>14</v>
      </c>
      <c r="G924">
        <v>501.75</v>
      </c>
    </row>
    <row r="925" spans="1:7" x14ac:dyDescent="0.25">
      <c r="A925">
        <v>56</v>
      </c>
      <c r="B925">
        <v>19</v>
      </c>
      <c r="C925">
        <v>0</v>
      </c>
      <c r="D925">
        <v>22</v>
      </c>
      <c r="E925">
        <v>2009</v>
      </c>
      <c r="F925">
        <v>16</v>
      </c>
      <c r="G925">
        <v>485.8</v>
      </c>
    </row>
    <row r="926" spans="1:7" x14ac:dyDescent="0.25">
      <c r="A926">
        <v>39</v>
      </c>
      <c r="B926">
        <v>21</v>
      </c>
      <c r="C926">
        <v>1</v>
      </c>
      <c r="D926">
        <v>21</v>
      </c>
      <c r="E926">
        <v>1997</v>
      </c>
      <c r="F926">
        <v>28</v>
      </c>
      <c r="G926">
        <v>491.25</v>
      </c>
    </row>
    <row r="927" spans="1:7" x14ac:dyDescent="0.25">
      <c r="A927">
        <v>43</v>
      </c>
      <c r="B927">
        <v>25</v>
      </c>
      <c r="C927">
        <v>3</v>
      </c>
      <c r="D927">
        <v>19</v>
      </c>
      <c r="E927">
        <v>2018</v>
      </c>
      <c r="F927">
        <v>7</v>
      </c>
      <c r="G927">
        <v>490.05</v>
      </c>
    </row>
    <row r="928" spans="1:7" x14ac:dyDescent="0.25">
      <c r="A928">
        <v>61</v>
      </c>
      <c r="B928">
        <v>36</v>
      </c>
      <c r="C928">
        <v>1</v>
      </c>
      <c r="D928">
        <v>11</v>
      </c>
      <c r="E928">
        <v>2015</v>
      </c>
      <c r="F928">
        <v>10</v>
      </c>
      <c r="G928">
        <v>480.05</v>
      </c>
    </row>
    <row r="929" spans="1:7" x14ac:dyDescent="0.25">
      <c r="A929">
        <v>42</v>
      </c>
      <c r="B929">
        <v>11</v>
      </c>
      <c r="C929">
        <v>0</v>
      </c>
      <c r="D929">
        <v>21</v>
      </c>
      <c r="E929">
        <v>2019</v>
      </c>
      <c r="F929">
        <v>6</v>
      </c>
      <c r="G929">
        <v>489.95</v>
      </c>
    </row>
    <row r="930" spans="1:7" x14ac:dyDescent="0.25">
      <c r="A930">
        <v>34</v>
      </c>
      <c r="B930">
        <v>16</v>
      </c>
      <c r="C930">
        <v>1</v>
      </c>
      <c r="D930">
        <v>13</v>
      </c>
      <c r="E930">
        <v>2006</v>
      </c>
      <c r="F930">
        <v>19</v>
      </c>
      <c r="G930">
        <v>492.45</v>
      </c>
    </row>
    <row r="931" spans="1:7" x14ac:dyDescent="0.25">
      <c r="A931">
        <v>30</v>
      </c>
      <c r="B931">
        <v>12</v>
      </c>
      <c r="C931">
        <v>0</v>
      </c>
      <c r="D931">
        <v>19</v>
      </c>
      <c r="E931">
        <v>2009</v>
      </c>
      <c r="F931">
        <v>16</v>
      </c>
      <c r="G931">
        <v>492.95</v>
      </c>
    </row>
    <row r="932" spans="1:7" x14ac:dyDescent="0.25">
      <c r="A932">
        <v>37</v>
      </c>
      <c r="B932">
        <v>14</v>
      </c>
      <c r="C932">
        <v>5</v>
      </c>
      <c r="D932">
        <v>21</v>
      </c>
      <c r="E932">
        <v>2005</v>
      </c>
      <c r="F932">
        <v>20</v>
      </c>
      <c r="G932">
        <v>498.95</v>
      </c>
    </row>
    <row r="933" spans="1:7" x14ac:dyDescent="0.25">
      <c r="A933">
        <v>42</v>
      </c>
      <c r="B933">
        <v>5</v>
      </c>
      <c r="C933">
        <v>2</v>
      </c>
      <c r="D933">
        <v>12</v>
      </c>
      <c r="E933">
        <v>1996</v>
      </c>
      <c r="F933">
        <v>29</v>
      </c>
      <c r="G933">
        <v>496.6</v>
      </c>
    </row>
    <row r="934" spans="1:7" x14ac:dyDescent="0.25">
      <c r="A934">
        <v>21</v>
      </c>
      <c r="B934">
        <v>3</v>
      </c>
      <c r="C934">
        <v>3</v>
      </c>
      <c r="D934">
        <v>22</v>
      </c>
      <c r="E934">
        <v>2005</v>
      </c>
      <c r="F934">
        <v>20</v>
      </c>
      <c r="G934">
        <v>502.5</v>
      </c>
    </row>
    <row r="935" spans="1:7" x14ac:dyDescent="0.25">
      <c r="A935">
        <v>27</v>
      </c>
      <c r="B935">
        <v>9</v>
      </c>
      <c r="C935">
        <v>0</v>
      </c>
      <c r="D935">
        <v>14</v>
      </c>
      <c r="E935">
        <v>2016</v>
      </c>
      <c r="F935">
        <v>9</v>
      </c>
      <c r="G935">
        <v>493.5</v>
      </c>
    </row>
    <row r="936" spans="1:7" x14ac:dyDescent="0.25">
      <c r="A936">
        <v>20</v>
      </c>
      <c r="B936">
        <v>1</v>
      </c>
      <c r="C936">
        <v>1</v>
      </c>
      <c r="D936">
        <v>14</v>
      </c>
      <c r="E936">
        <v>2012</v>
      </c>
      <c r="F936">
        <v>13</v>
      </c>
      <c r="G936">
        <v>499.2</v>
      </c>
    </row>
    <row r="937" spans="1:7" x14ac:dyDescent="0.25">
      <c r="A937">
        <v>58</v>
      </c>
      <c r="B937">
        <v>8</v>
      </c>
      <c r="C937">
        <v>3</v>
      </c>
      <c r="D937">
        <v>12</v>
      </c>
      <c r="E937">
        <v>2013</v>
      </c>
      <c r="F937">
        <v>12</v>
      </c>
      <c r="G937">
        <v>492.3</v>
      </c>
    </row>
    <row r="938" spans="1:7" x14ac:dyDescent="0.25">
      <c r="A938">
        <v>62</v>
      </c>
      <c r="B938">
        <v>36</v>
      </c>
      <c r="C938">
        <v>2</v>
      </c>
      <c r="D938">
        <v>25</v>
      </c>
      <c r="E938">
        <v>1998</v>
      </c>
      <c r="F938">
        <v>27</v>
      </c>
      <c r="G938">
        <v>483.75</v>
      </c>
    </row>
    <row r="939" spans="1:7" x14ac:dyDescent="0.25">
      <c r="A939">
        <v>35</v>
      </c>
      <c r="B939">
        <v>17</v>
      </c>
      <c r="C939">
        <v>5</v>
      </c>
      <c r="D939">
        <v>13</v>
      </c>
      <c r="E939">
        <v>2024</v>
      </c>
      <c r="F939">
        <v>1</v>
      </c>
      <c r="G939">
        <v>496.15</v>
      </c>
    </row>
    <row r="940" spans="1:7" x14ac:dyDescent="0.25">
      <c r="A940">
        <v>64</v>
      </c>
      <c r="B940">
        <v>25</v>
      </c>
      <c r="C940">
        <v>3</v>
      </c>
      <c r="D940">
        <v>23</v>
      </c>
      <c r="E940">
        <v>2009</v>
      </c>
      <c r="F940">
        <v>16</v>
      </c>
      <c r="G940">
        <v>486.95</v>
      </c>
    </row>
    <row r="941" spans="1:7" x14ac:dyDescent="0.25">
      <c r="A941">
        <v>53</v>
      </c>
      <c r="B941">
        <v>28</v>
      </c>
      <c r="C941">
        <v>0</v>
      </c>
      <c r="D941">
        <v>13</v>
      </c>
      <c r="E941">
        <v>2006</v>
      </c>
      <c r="F941">
        <v>19</v>
      </c>
      <c r="G941">
        <v>483.55</v>
      </c>
    </row>
    <row r="942" spans="1:7" x14ac:dyDescent="0.25">
      <c r="A942">
        <v>64</v>
      </c>
      <c r="B942">
        <v>0</v>
      </c>
      <c r="C942">
        <v>2</v>
      </c>
      <c r="D942">
        <v>11</v>
      </c>
      <c r="E942">
        <v>2020</v>
      </c>
      <c r="F942">
        <v>5</v>
      </c>
      <c r="G942">
        <v>491.25</v>
      </c>
    </row>
    <row r="943" spans="1:7" x14ac:dyDescent="0.25">
      <c r="A943">
        <v>39</v>
      </c>
      <c r="B943">
        <v>21</v>
      </c>
      <c r="C943">
        <v>1</v>
      </c>
      <c r="D943">
        <v>16</v>
      </c>
      <c r="E943">
        <v>1997</v>
      </c>
      <c r="F943">
        <v>28</v>
      </c>
      <c r="G943">
        <v>491</v>
      </c>
    </row>
    <row r="944" spans="1:7" x14ac:dyDescent="0.25">
      <c r="A944">
        <v>51</v>
      </c>
      <c r="B944">
        <v>5</v>
      </c>
      <c r="C944">
        <v>2</v>
      </c>
      <c r="D944">
        <v>18</v>
      </c>
      <c r="E944">
        <v>2004</v>
      </c>
      <c r="F944">
        <v>21</v>
      </c>
      <c r="G944">
        <v>494.3</v>
      </c>
    </row>
    <row r="945" spans="1:7" x14ac:dyDescent="0.25">
      <c r="A945">
        <v>64</v>
      </c>
      <c r="B945">
        <v>36</v>
      </c>
      <c r="C945">
        <v>2</v>
      </c>
      <c r="D945">
        <v>22</v>
      </c>
      <c r="E945">
        <v>2020</v>
      </c>
      <c r="F945">
        <v>5</v>
      </c>
      <c r="G945">
        <v>481</v>
      </c>
    </row>
    <row r="946" spans="1:7" x14ac:dyDescent="0.25">
      <c r="A946">
        <v>25</v>
      </c>
      <c r="B946">
        <v>4</v>
      </c>
      <c r="C946">
        <v>4</v>
      </c>
      <c r="D946">
        <v>13</v>
      </c>
      <c r="E946">
        <v>2019</v>
      </c>
      <c r="F946">
        <v>6</v>
      </c>
      <c r="G946">
        <v>501.05</v>
      </c>
    </row>
    <row r="947" spans="1:7" x14ac:dyDescent="0.25">
      <c r="A947">
        <v>57</v>
      </c>
      <c r="B947">
        <v>32</v>
      </c>
      <c r="C947">
        <v>2</v>
      </c>
      <c r="D947">
        <v>15</v>
      </c>
      <c r="E947">
        <v>2009</v>
      </c>
      <c r="F947">
        <v>16</v>
      </c>
      <c r="G947">
        <v>484.35</v>
      </c>
    </row>
    <row r="948" spans="1:7" x14ac:dyDescent="0.25">
      <c r="A948">
        <v>61</v>
      </c>
      <c r="B948">
        <v>13</v>
      </c>
      <c r="C948">
        <v>2</v>
      </c>
      <c r="D948">
        <v>11</v>
      </c>
      <c r="E948">
        <v>2001</v>
      </c>
      <c r="F948">
        <v>24</v>
      </c>
      <c r="G948">
        <v>489.85</v>
      </c>
    </row>
    <row r="949" spans="1:7" x14ac:dyDescent="0.25">
      <c r="A949">
        <v>36</v>
      </c>
      <c r="B949">
        <v>11</v>
      </c>
      <c r="C949">
        <v>3</v>
      </c>
      <c r="D949">
        <v>20</v>
      </c>
      <c r="E949">
        <v>2006</v>
      </c>
      <c r="F949">
        <v>19</v>
      </c>
      <c r="G949">
        <v>496.9</v>
      </c>
    </row>
    <row r="950" spans="1:7" x14ac:dyDescent="0.25">
      <c r="A950">
        <v>59</v>
      </c>
      <c r="B950">
        <v>19</v>
      </c>
      <c r="C950">
        <v>1</v>
      </c>
      <c r="D950">
        <v>17</v>
      </c>
      <c r="E950">
        <v>2019</v>
      </c>
      <c r="F950">
        <v>6</v>
      </c>
      <c r="G950">
        <v>485.45</v>
      </c>
    </row>
    <row r="951" spans="1:7" x14ac:dyDescent="0.25">
      <c r="A951">
        <v>58</v>
      </c>
      <c r="B951">
        <v>23</v>
      </c>
      <c r="C951">
        <v>3</v>
      </c>
      <c r="D951">
        <v>20</v>
      </c>
      <c r="E951">
        <v>2018</v>
      </c>
      <c r="F951">
        <v>7</v>
      </c>
      <c r="G951">
        <v>487.7</v>
      </c>
    </row>
    <row r="952" spans="1:7" x14ac:dyDescent="0.25">
      <c r="A952">
        <v>54</v>
      </c>
      <c r="B952">
        <v>33</v>
      </c>
      <c r="C952">
        <v>3</v>
      </c>
      <c r="D952">
        <v>23</v>
      </c>
      <c r="E952">
        <v>2008</v>
      </c>
      <c r="F952">
        <v>17</v>
      </c>
      <c r="G952">
        <v>486.65</v>
      </c>
    </row>
    <row r="953" spans="1:7" x14ac:dyDescent="0.25">
      <c r="A953">
        <v>23</v>
      </c>
      <c r="B953">
        <v>5</v>
      </c>
      <c r="C953">
        <v>0</v>
      </c>
      <c r="D953">
        <v>11</v>
      </c>
      <c r="E953">
        <v>2000</v>
      </c>
      <c r="F953">
        <v>25</v>
      </c>
      <c r="G953">
        <v>496.95</v>
      </c>
    </row>
    <row r="954" spans="1:7" x14ac:dyDescent="0.25">
      <c r="A954">
        <v>43</v>
      </c>
      <c r="B954">
        <v>25</v>
      </c>
      <c r="C954">
        <v>3</v>
      </c>
      <c r="D954">
        <v>22</v>
      </c>
      <c r="E954">
        <v>2023</v>
      </c>
      <c r="F954">
        <v>2</v>
      </c>
      <c r="G954">
        <v>489.7</v>
      </c>
    </row>
    <row r="955" spans="1:7" x14ac:dyDescent="0.25">
      <c r="A955">
        <v>51</v>
      </c>
      <c r="B955">
        <v>33</v>
      </c>
      <c r="C955">
        <v>4</v>
      </c>
      <c r="D955">
        <v>21</v>
      </c>
      <c r="E955">
        <v>1996</v>
      </c>
      <c r="F955">
        <v>29</v>
      </c>
      <c r="G955">
        <v>489.85</v>
      </c>
    </row>
    <row r="956" spans="1:7" x14ac:dyDescent="0.25">
      <c r="A956">
        <v>62</v>
      </c>
      <c r="B956">
        <v>30</v>
      </c>
      <c r="C956">
        <v>4</v>
      </c>
      <c r="D956">
        <v>19</v>
      </c>
      <c r="E956">
        <v>2023</v>
      </c>
      <c r="F956">
        <v>2</v>
      </c>
      <c r="G956">
        <v>485.75</v>
      </c>
    </row>
    <row r="957" spans="1:7" x14ac:dyDescent="0.25">
      <c r="A957">
        <v>23</v>
      </c>
      <c r="B957">
        <v>5</v>
      </c>
      <c r="C957">
        <v>0</v>
      </c>
      <c r="D957">
        <v>18</v>
      </c>
      <c r="E957">
        <v>2009</v>
      </c>
      <c r="F957">
        <v>16</v>
      </c>
      <c r="G957">
        <v>496.4</v>
      </c>
    </row>
    <row r="958" spans="1:7" x14ac:dyDescent="0.25">
      <c r="A958">
        <v>54</v>
      </c>
      <c r="B958">
        <v>36</v>
      </c>
      <c r="C958">
        <v>5</v>
      </c>
      <c r="D958">
        <v>17</v>
      </c>
      <c r="E958">
        <v>2013</v>
      </c>
      <c r="F958">
        <v>12</v>
      </c>
      <c r="G958">
        <v>487.95</v>
      </c>
    </row>
    <row r="959" spans="1:7" x14ac:dyDescent="0.25">
      <c r="A959">
        <v>50</v>
      </c>
      <c r="B959">
        <v>19</v>
      </c>
      <c r="C959">
        <v>1</v>
      </c>
      <c r="D959">
        <v>20</v>
      </c>
      <c r="E959">
        <v>1999</v>
      </c>
      <c r="F959">
        <v>26</v>
      </c>
      <c r="G959">
        <v>489.4</v>
      </c>
    </row>
    <row r="960" spans="1:7" x14ac:dyDescent="0.25">
      <c r="A960">
        <v>39</v>
      </c>
      <c r="B960">
        <v>21</v>
      </c>
      <c r="C960">
        <v>1</v>
      </c>
      <c r="D960">
        <v>25</v>
      </c>
      <c r="E960">
        <v>2021</v>
      </c>
      <c r="F960">
        <v>4</v>
      </c>
      <c r="G960">
        <v>489.05</v>
      </c>
    </row>
    <row r="961" spans="1:7" x14ac:dyDescent="0.25">
      <c r="A961">
        <v>38</v>
      </c>
      <c r="B961">
        <v>15</v>
      </c>
      <c r="C961">
        <v>3</v>
      </c>
      <c r="D961">
        <v>17</v>
      </c>
      <c r="E961">
        <v>2004</v>
      </c>
      <c r="F961">
        <v>21</v>
      </c>
      <c r="G961">
        <v>495.35</v>
      </c>
    </row>
    <row r="962" spans="1:7" x14ac:dyDescent="0.25">
      <c r="A962">
        <v>23</v>
      </c>
      <c r="B962">
        <v>5</v>
      </c>
      <c r="C962">
        <v>3</v>
      </c>
      <c r="D962">
        <v>15</v>
      </c>
      <c r="E962">
        <v>2009</v>
      </c>
      <c r="F962">
        <v>16</v>
      </c>
      <c r="G962">
        <v>500.75</v>
      </c>
    </row>
    <row r="963" spans="1:7" x14ac:dyDescent="0.25">
      <c r="A963">
        <v>23</v>
      </c>
      <c r="B963">
        <v>5</v>
      </c>
      <c r="C963">
        <v>5</v>
      </c>
      <c r="D963">
        <v>15</v>
      </c>
      <c r="E963">
        <v>1992</v>
      </c>
      <c r="F963">
        <v>33</v>
      </c>
      <c r="G963">
        <v>505.45</v>
      </c>
    </row>
    <row r="964" spans="1:7" x14ac:dyDescent="0.25">
      <c r="A964">
        <v>65</v>
      </c>
      <c r="B964">
        <v>0</v>
      </c>
      <c r="C964">
        <v>3</v>
      </c>
      <c r="D964">
        <v>21</v>
      </c>
      <c r="E964">
        <v>1997</v>
      </c>
      <c r="F964">
        <v>28</v>
      </c>
      <c r="G964">
        <v>495.35</v>
      </c>
    </row>
    <row r="965" spans="1:7" x14ac:dyDescent="0.25">
      <c r="A965">
        <v>21</v>
      </c>
      <c r="B965">
        <v>3</v>
      </c>
      <c r="C965">
        <v>1</v>
      </c>
      <c r="D965">
        <v>23</v>
      </c>
      <c r="E965">
        <v>2012</v>
      </c>
      <c r="F965">
        <v>13</v>
      </c>
      <c r="G965">
        <v>498.85</v>
      </c>
    </row>
    <row r="966" spans="1:7" x14ac:dyDescent="0.25">
      <c r="A966">
        <v>47</v>
      </c>
      <c r="B966">
        <v>28</v>
      </c>
      <c r="C966">
        <v>2</v>
      </c>
      <c r="D966">
        <v>15</v>
      </c>
      <c r="E966">
        <v>2000</v>
      </c>
      <c r="F966">
        <v>25</v>
      </c>
      <c r="G966">
        <v>488.45</v>
      </c>
    </row>
    <row r="967" spans="1:7" x14ac:dyDescent="0.25">
      <c r="A967">
        <v>28</v>
      </c>
      <c r="B967">
        <v>10</v>
      </c>
      <c r="C967">
        <v>4</v>
      </c>
      <c r="D967">
        <v>11</v>
      </c>
      <c r="E967">
        <v>1997</v>
      </c>
      <c r="F967">
        <v>28</v>
      </c>
      <c r="G967">
        <v>500.75</v>
      </c>
    </row>
    <row r="968" spans="1:7" x14ac:dyDescent="0.25">
      <c r="A968">
        <v>47</v>
      </c>
      <c r="B968">
        <v>29</v>
      </c>
      <c r="C968">
        <v>2</v>
      </c>
      <c r="D968">
        <v>18</v>
      </c>
      <c r="E968">
        <v>2018</v>
      </c>
      <c r="F968">
        <v>7</v>
      </c>
      <c r="G968">
        <v>486.5</v>
      </c>
    </row>
    <row r="969" spans="1:7" x14ac:dyDescent="0.25">
      <c r="A969">
        <v>48</v>
      </c>
      <c r="B969">
        <v>4</v>
      </c>
      <c r="C969">
        <v>2</v>
      </c>
      <c r="D969">
        <v>22</v>
      </c>
      <c r="E969">
        <v>2019</v>
      </c>
      <c r="F969">
        <v>6</v>
      </c>
      <c r="G969">
        <v>493.9</v>
      </c>
    </row>
    <row r="970" spans="1:7" x14ac:dyDescent="0.25">
      <c r="A970">
        <v>41</v>
      </c>
      <c r="B970">
        <v>21</v>
      </c>
      <c r="C970">
        <v>1</v>
      </c>
      <c r="D970">
        <v>21</v>
      </c>
      <c r="E970">
        <v>1999</v>
      </c>
      <c r="F970">
        <v>26</v>
      </c>
      <c r="G970">
        <v>490.65</v>
      </c>
    </row>
    <row r="971" spans="1:7" x14ac:dyDescent="0.25">
      <c r="A971">
        <v>26</v>
      </c>
      <c r="B971">
        <v>8</v>
      </c>
      <c r="C971">
        <v>2</v>
      </c>
      <c r="D971">
        <v>11</v>
      </c>
      <c r="E971">
        <v>2017</v>
      </c>
      <c r="F971">
        <v>8</v>
      </c>
      <c r="G971">
        <v>496.75</v>
      </c>
    </row>
    <row r="972" spans="1:7" x14ac:dyDescent="0.25">
      <c r="A972">
        <v>20</v>
      </c>
      <c r="B972">
        <v>0</v>
      </c>
      <c r="C972">
        <v>5</v>
      </c>
      <c r="D972">
        <v>14</v>
      </c>
      <c r="E972">
        <v>2025</v>
      </c>
      <c r="F972">
        <v>0</v>
      </c>
      <c r="G972">
        <v>504.2</v>
      </c>
    </row>
    <row r="973" spans="1:7" x14ac:dyDescent="0.25">
      <c r="A973">
        <v>48</v>
      </c>
      <c r="B973">
        <v>25</v>
      </c>
      <c r="C973">
        <v>0</v>
      </c>
      <c r="D973">
        <v>25</v>
      </c>
      <c r="E973">
        <v>2002</v>
      </c>
      <c r="F973">
        <v>23</v>
      </c>
      <c r="G973">
        <v>486.45</v>
      </c>
    </row>
    <row r="974" spans="1:7" x14ac:dyDescent="0.25">
      <c r="A974">
        <v>57</v>
      </c>
      <c r="B974">
        <v>9</v>
      </c>
      <c r="C974">
        <v>3</v>
      </c>
      <c r="D974">
        <v>19</v>
      </c>
      <c r="E974">
        <v>2021</v>
      </c>
      <c r="F974">
        <v>4</v>
      </c>
      <c r="G974">
        <v>491.75</v>
      </c>
    </row>
    <row r="975" spans="1:7" x14ac:dyDescent="0.25">
      <c r="A975">
        <v>54</v>
      </c>
      <c r="B975">
        <v>29</v>
      </c>
      <c r="C975">
        <v>0</v>
      </c>
      <c r="D975">
        <v>24</v>
      </c>
      <c r="E975">
        <v>2025</v>
      </c>
      <c r="F975">
        <v>0</v>
      </c>
      <c r="G975">
        <v>481.7</v>
      </c>
    </row>
    <row r="976" spans="1:7" x14ac:dyDescent="0.25">
      <c r="A976">
        <v>53</v>
      </c>
      <c r="B976">
        <v>17</v>
      </c>
      <c r="C976">
        <v>4</v>
      </c>
      <c r="D976">
        <v>19</v>
      </c>
      <c r="E976">
        <v>2015</v>
      </c>
      <c r="F976">
        <v>10</v>
      </c>
      <c r="G976">
        <v>492.25</v>
      </c>
    </row>
    <row r="977" spans="1:7" x14ac:dyDescent="0.25">
      <c r="A977">
        <v>41</v>
      </c>
      <c r="B977">
        <v>16</v>
      </c>
      <c r="C977">
        <v>3</v>
      </c>
      <c r="D977">
        <v>15</v>
      </c>
      <c r="E977">
        <v>2011</v>
      </c>
      <c r="F977">
        <v>14</v>
      </c>
      <c r="G977">
        <v>493.65</v>
      </c>
    </row>
    <row r="978" spans="1:7" x14ac:dyDescent="0.25">
      <c r="A978">
        <v>48</v>
      </c>
      <c r="B978">
        <v>25</v>
      </c>
      <c r="C978">
        <v>2</v>
      </c>
      <c r="D978">
        <v>14</v>
      </c>
      <c r="E978">
        <v>1993</v>
      </c>
      <c r="F978">
        <v>32</v>
      </c>
      <c r="G978">
        <v>489.8</v>
      </c>
    </row>
    <row r="979" spans="1:7" x14ac:dyDescent="0.25">
      <c r="A979">
        <v>23</v>
      </c>
      <c r="B979">
        <v>5</v>
      </c>
      <c r="C979">
        <v>4</v>
      </c>
      <c r="D979">
        <v>13</v>
      </c>
      <c r="E979">
        <v>2020</v>
      </c>
      <c r="F979">
        <v>5</v>
      </c>
      <c r="G979">
        <v>501.05</v>
      </c>
    </row>
    <row r="980" spans="1:7" x14ac:dyDescent="0.25">
      <c r="A980">
        <v>19</v>
      </c>
      <c r="B980">
        <v>1</v>
      </c>
      <c r="C980">
        <v>3</v>
      </c>
      <c r="D980">
        <v>13</v>
      </c>
      <c r="E980">
        <v>2007</v>
      </c>
      <c r="F980">
        <v>18</v>
      </c>
      <c r="G980">
        <v>502.85</v>
      </c>
    </row>
    <row r="981" spans="1:7" x14ac:dyDescent="0.25">
      <c r="A981">
        <v>37</v>
      </c>
      <c r="B981">
        <v>11</v>
      </c>
      <c r="C981">
        <v>5</v>
      </c>
      <c r="D981">
        <v>22</v>
      </c>
      <c r="E981">
        <v>2013</v>
      </c>
      <c r="F981">
        <v>12</v>
      </c>
      <c r="G981">
        <v>499.1</v>
      </c>
    </row>
    <row r="982" spans="1:7" x14ac:dyDescent="0.25">
      <c r="A982">
        <v>45</v>
      </c>
      <c r="B982">
        <v>26</v>
      </c>
      <c r="C982">
        <v>5</v>
      </c>
      <c r="D982">
        <v>15</v>
      </c>
      <c r="E982">
        <v>2012</v>
      </c>
      <c r="F982">
        <v>13</v>
      </c>
      <c r="G982">
        <v>492.75</v>
      </c>
    </row>
    <row r="983" spans="1:7" x14ac:dyDescent="0.25">
      <c r="A983">
        <v>28</v>
      </c>
      <c r="B983">
        <v>7</v>
      </c>
      <c r="C983">
        <v>5</v>
      </c>
      <c r="D983">
        <v>20</v>
      </c>
      <c r="E983">
        <v>2011</v>
      </c>
      <c r="F983">
        <v>14</v>
      </c>
      <c r="G983">
        <v>502.2</v>
      </c>
    </row>
    <row r="984" spans="1:7" x14ac:dyDescent="0.25">
      <c r="A984">
        <v>21</v>
      </c>
      <c r="B984">
        <v>3</v>
      </c>
      <c r="C984">
        <v>5</v>
      </c>
      <c r="D984">
        <v>11</v>
      </c>
      <c r="E984">
        <v>1991</v>
      </c>
      <c r="F984">
        <v>34</v>
      </c>
      <c r="G984">
        <v>506.35</v>
      </c>
    </row>
    <row r="985" spans="1:7" x14ac:dyDescent="0.25">
      <c r="A985">
        <v>32</v>
      </c>
      <c r="B985">
        <v>3</v>
      </c>
      <c r="C985">
        <v>2</v>
      </c>
      <c r="D985">
        <v>15</v>
      </c>
      <c r="E985">
        <v>2020</v>
      </c>
      <c r="F985">
        <v>5</v>
      </c>
      <c r="G985">
        <v>496.95</v>
      </c>
    </row>
    <row r="986" spans="1:7" x14ac:dyDescent="0.25">
      <c r="A986">
        <v>23</v>
      </c>
      <c r="B986">
        <v>5</v>
      </c>
      <c r="C986">
        <v>0</v>
      </c>
      <c r="D986">
        <v>16</v>
      </c>
      <c r="E986">
        <v>2000</v>
      </c>
      <c r="F986">
        <v>25</v>
      </c>
      <c r="G986">
        <v>497.2</v>
      </c>
    </row>
    <row r="987" spans="1:7" x14ac:dyDescent="0.25">
      <c r="A987">
        <v>47</v>
      </c>
      <c r="B987">
        <v>0</v>
      </c>
      <c r="C987">
        <v>3</v>
      </c>
      <c r="D987">
        <v>17</v>
      </c>
      <c r="E987">
        <v>2017</v>
      </c>
      <c r="F987">
        <v>8</v>
      </c>
      <c r="G987">
        <v>496.75</v>
      </c>
    </row>
    <row r="988" spans="1:7" x14ac:dyDescent="0.25">
      <c r="A988">
        <v>55</v>
      </c>
      <c r="B988">
        <v>18</v>
      </c>
      <c r="C988">
        <v>2</v>
      </c>
      <c r="D988">
        <v>22</v>
      </c>
      <c r="E988">
        <v>2021</v>
      </c>
      <c r="F988">
        <v>4</v>
      </c>
      <c r="G988">
        <v>488.1</v>
      </c>
    </row>
    <row r="989" spans="1:7" x14ac:dyDescent="0.25">
      <c r="A989">
        <v>19</v>
      </c>
      <c r="B989">
        <v>1</v>
      </c>
      <c r="C989">
        <v>5</v>
      </c>
      <c r="D989">
        <v>19</v>
      </c>
      <c r="E989">
        <v>1994</v>
      </c>
      <c r="F989">
        <v>31</v>
      </c>
      <c r="G989">
        <v>507.45</v>
      </c>
    </row>
    <row r="990" spans="1:7" x14ac:dyDescent="0.25">
      <c r="A990">
        <v>32</v>
      </c>
      <c r="B990">
        <v>14</v>
      </c>
      <c r="C990">
        <v>0</v>
      </c>
      <c r="D990">
        <v>13</v>
      </c>
      <c r="E990">
        <v>1999</v>
      </c>
      <c r="F990">
        <v>26</v>
      </c>
      <c r="G990">
        <v>492.65</v>
      </c>
    </row>
    <row r="991" spans="1:7" x14ac:dyDescent="0.25">
      <c r="A991">
        <v>28</v>
      </c>
      <c r="B991">
        <v>10</v>
      </c>
      <c r="C991">
        <v>4</v>
      </c>
      <c r="D991">
        <v>25</v>
      </c>
      <c r="E991">
        <v>2013</v>
      </c>
      <c r="F991">
        <v>12</v>
      </c>
      <c r="G991">
        <v>499.85</v>
      </c>
    </row>
    <row r="992" spans="1:7" x14ac:dyDescent="0.25">
      <c r="A992">
        <v>25</v>
      </c>
      <c r="B992">
        <v>4</v>
      </c>
      <c r="C992">
        <v>4</v>
      </c>
      <c r="D992">
        <v>12</v>
      </c>
      <c r="E992">
        <v>2024</v>
      </c>
      <c r="F992">
        <v>1</v>
      </c>
      <c r="G992">
        <v>500.5</v>
      </c>
    </row>
    <row r="993" spans="1:7" x14ac:dyDescent="0.25">
      <c r="A993">
        <v>43</v>
      </c>
      <c r="B993">
        <v>25</v>
      </c>
      <c r="C993">
        <v>4</v>
      </c>
      <c r="D993">
        <v>24</v>
      </c>
      <c r="E993">
        <v>2012</v>
      </c>
      <c r="F993">
        <v>13</v>
      </c>
      <c r="G993">
        <v>492.4</v>
      </c>
    </row>
    <row r="994" spans="1:7" x14ac:dyDescent="0.25">
      <c r="A994">
        <v>62</v>
      </c>
      <c r="B994">
        <v>25</v>
      </c>
      <c r="C994">
        <v>5</v>
      </c>
      <c r="D994">
        <v>13</v>
      </c>
      <c r="E994">
        <v>2006</v>
      </c>
      <c r="F994">
        <v>19</v>
      </c>
      <c r="G994">
        <v>490.15</v>
      </c>
    </row>
    <row r="995" spans="1:7" x14ac:dyDescent="0.25">
      <c r="A995">
        <v>61</v>
      </c>
      <c r="B995">
        <v>27</v>
      </c>
      <c r="C995">
        <v>4</v>
      </c>
      <c r="D995">
        <v>22</v>
      </c>
      <c r="E995">
        <v>1990</v>
      </c>
      <c r="F995">
        <v>35</v>
      </c>
      <c r="G995">
        <v>490.3</v>
      </c>
    </row>
    <row r="996" spans="1:7" x14ac:dyDescent="0.25">
      <c r="A996">
        <v>22</v>
      </c>
      <c r="B996">
        <v>1</v>
      </c>
      <c r="C996">
        <v>1</v>
      </c>
      <c r="D996">
        <v>19</v>
      </c>
      <c r="E996">
        <v>2020</v>
      </c>
      <c r="F996">
        <v>5</v>
      </c>
      <c r="G996">
        <v>498.25</v>
      </c>
    </row>
    <row r="997" spans="1:7" x14ac:dyDescent="0.25">
      <c r="A997">
        <v>23</v>
      </c>
      <c r="B997">
        <v>5</v>
      </c>
      <c r="C997">
        <v>3</v>
      </c>
      <c r="D997">
        <v>22</v>
      </c>
      <c r="E997">
        <v>2020</v>
      </c>
      <c r="F997">
        <v>5</v>
      </c>
      <c r="G997">
        <v>500</v>
      </c>
    </row>
    <row r="998" spans="1:7" x14ac:dyDescent="0.25">
      <c r="A998">
        <v>43</v>
      </c>
      <c r="B998">
        <v>8</v>
      </c>
      <c r="C998">
        <v>3</v>
      </c>
      <c r="D998">
        <v>17</v>
      </c>
      <c r="E998">
        <v>2023</v>
      </c>
      <c r="F998">
        <v>2</v>
      </c>
      <c r="G998">
        <v>494.55</v>
      </c>
    </row>
    <row r="999" spans="1:7" x14ac:dyDescent="0.25">
      <c r="A999">
        <v>21</v>
      </c>
      <c r="B999">
        <v>3</v>
      </c>
      <c r="C999">
        <v>5</v>
      </c>
      <c r="D999">
        <v>19</v>
      </c>
      <c r="E999">
        <v>1998</v>
      </c>
      <c r="F999">
        <v>27</v>
      </c>
      <c r="G999">
        <v>506.05</v>
      </c>
    </row>
    <row r="1000" spans="1:7" x14ac:dyDescent="0.25">
      <c r="A1000">
        <v>36</v>
      </c>
      <c r="B1000">
        <v>18</v>
      </c>
      <c r="C1000">
        <v>1</v>
      </c>
      <c r="D1000">
        <v>23</v>
      </c>
      <c r="E1000">
        <v>2011</v>
      </c>
      <c r="F1000">
        <v>14</v>
      </c>
      <c r="G1000">
        <v>491.45</v>
      </c>
    </row>
    <row r="1001" spans="1:7" x14ac:dyDescent="0.25">
      <c r="A1001">
        <v>37</v>
      </c>
      <c r="B1001">
        <v>19</v>
      </c>
      <c r="C1001">
        <v>2</v>
      </c>
      <c r="D1001">
        <v>12</v>
      </c>
      <c r="E1001">
        <v>2002</v>
      </c>
      <c r="F1001">
        <v>23</v>
      </c>
      <c r="G1001">
        <v>492.8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Age</vt:lpstr>
      <vt:lpstr>Experience</vt:lpstr>
      <vt:lpstr>Previous Accident</vt:lpstr>
      <vt:lpstr>Annual Milleage</vt:lpstr>
      <vt:lpstr>Car Age</vt:lpstr>
      <vt:lpstr>Summary Statistics</vt:lpstr>
      <vt:lpstr>Transformed Data</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Bashiru Mukaila</dc:creator>
  <cp:lastModifiedBy>Bashiru Mukaila</cp:lastModifiedBy>
  <dcterms:created xsi:type="dcterms:W3CDTF">2026-02-05T23:31:13Z</dcterms:created>
  <dcterms:modified xsi:type="dcterms:W3CDTF">2026-02-16T17:17:07Z</dcterms:modified>
</cp:coreProperties>
</file>